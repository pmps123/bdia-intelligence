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afli\Data Dashboard\Master Data\"/>
    </mc:Choice>
  </mc:AlternateContent>
  <xr:revisionPtr revIDLastSave="0" documentId="13_ncr:1_{D31BF40F-A819-4D94-8E1A-905266B599B4}" xr6:coauthVersionLast="45" xr6:coauthVersionMax="45" xr10:uidLastSave="{00000000-0000-0000-0000-000000000000}"/>
  <bookViews>
    <workbookView xWindow="-120" yWindow="-120" windowWidth="20730" windowHeight="11160" activeTab="1" xr2:uid="{AB883DE2-F91D-4644-BC44-E30C602BC585}"/>
  </bookViews>
  <sheets>
    <sheet name="Mapping Bu Gita" sheetId="2" r:id="rId1"/>
    <sheet name="CLEAN" sheetId="6" r:id="rId2"/>
    <sheet name="Clean Data HR" sheetId="3" r:id="rId3"/>
    <sheet name="Karyawan Resign" sheetId="4" r:id="rId4"/>
    <sheet name="20an" sheetId="5" r:id="rId5"/>
  </sheets>
  <externalReferences>
    <externalReference r:id="rId6"/>
    <externalReference r:id="rId7"/>
  </externalReferences>
  <definedNames>
    <definedName name="_xlnm._FilterDatabase" localSheetId="4" hidden="1">'20an'!$K$1:$K$173</definedName>
    <definedName name="_xlnm._FilterDatabase" localSheetId="2" hidden="1">'Clean Data HR'!$H$1:$H$103</definedName>
    <definedName name="_xlnm.Print_Area" localSheetId="4">'20an'!$A$1:$P$168</definedName>
    <definedName name="_xlnm.Print_Area" localSheetId="2">'Clean Data HR'!$A$1:$N$102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9" i="6" l="1"/>
  <c r="A109" i="6"/>
  <c r="G108" i="6"/>
  <c r="B108" i="6"/>
  <c r="G107" i="6"/>
  <c r="B107" i="6"/>
  <c r="G106" i="6"/>
  <c r="B106" i="6"/>
  <c r="A106" i="6"/>
  <c r="G105" i="6"/>
  <c r="B105" i="6"/>
  <c r="A105" i="6"/>
  <c r="G104" i="6"/>
  <c r="B104" i="6"/>
  <c r="A104" i="6"/>
  <c r="G103" i="6"/>
  <c r="B103" i="6"/>
  <c r="A103" i="6"/>
  <c r="G102" i="6"/>
  <c r="B102" i="6"/>
  <c r="A102" i="6"/>
  <c r="G101" i="6"/>
  <c r="B101" i="6"/>
  <c r="A101" i="6"/>
  <c r="G100" i="6"/>
  <c r="B100" i="6"/>
  <c r="A100" i="6"/>
  <c r="G99" i="6"/>
  <c r="B99" i="6"/>
  <c r="A99" i="6"/>
  <c r="G98" i="6"/>
  <c r="B98" i="6"/>
  <c r="A98" i="6"/>
  <c r="B97" i="6"/>
  <c r="A97" i="6"/>
  <c r="G96" i="6"/>
  <c r="B96" i="6"/>
  <c r="A96" i="6"/>
  <c r="G95" i="6"/>
  <c r="B95" i="6"/>
  <c r="A95" i="6"/>
  <c r="G94" i="6"/>
  <c r="B94" i="6"/>
  <c r="A94" i="6"/>
  <c r="G93" i="6"/>
  <c r="B93" i="6"/>
  <c r="A93" i="6"/>
  <c r="G92" i="6"/>
  <c r="B92" i="6"/>
  <c r="A92" i="6"/>
  <c r="G91" i="6"/>
  <c r="B91" i="6"/>
  <c r="A91" i="6"/>
  <c r="G90" i="6"/>
  <c r="B90" i="6"/>
  <c r="A90" i="6"/>
  <c r="G89" i="6"/>
  <c r="B89" i="6"/>
  <c r="A89" i="6"/>
  <c r="G88" i="6"/>
  <c r="B88" i="6"/>
  <c r="A88" i="6"/>
  <c r="G87" i="6"/>
  <c r="B87" i="6"/>
  <c r="A87" i="6"/>
  <c r="G86" i="6"/>
  <c r="B86" i="6"/>
  <c r="A86" i="6"/>
  <c r="G85" i="6"/>
  <c r="B85" i="6"/>
  <c r="A85" i="6"/>
  <c r="G84" i="6"/>
  <c r="B84" i="6"/>
  <c r="A84" i="6"/>
  <c r="G83" i="6"/>
  <c r="B83" i="6"/>
  <c r="A83" i="6"/>
  <c r="G82" i="6"/>
  <c r="B82" i="6"/>
  <c r="A82" i="6"/>
  <c r="G81" i="6"/>
  <c r="B81" i="6"/>
  <c r="A81" i="6"/>
  <c r="A80" i="6"/>
  <c r="G79" i="6"/>
  <c r="B79" i="6"/>
  <c r="A79" i="6"/>
  <c r="G78" i="6"/>
  <c r="B78" i="6"/>
  <c r="A78" i="6"/>
  <c r="G77" i="6"/>
  <c r="B77" i="6"/>
  <c r="A77" i="6"/>
  <c r="G76" i="6"/>
  <c r="B76" i="6"/>
  <c r="A76" i="6"/>
  <c r="G75" i="6"/>
  <c r="B75" i="6"/>
  <c r="A75" i="6"/>
  <c r="G74" i="6"/>
  <c r="B74" i="6"/>
  <c r="A74" i="6"/>
  <c r="G73" i="6"/>
  <c r="B73" i="6"/>
  <c r="A73" i="6"/>
  <c r="G72" i="6"/>
  <c r="B72" i="6"/>
  <c r="A72" i="6"/>
  <c r="G71" i="6"/>
  <c r="B71" i="6"/>
  <c r="A71" i="6"/>
  <c r="G70" i="6"/>
  <c r="B70" i="6"/>
  <c r="A70" i="6"/>
  <c r="G69" i="6"/>
  <c r="B69" i="6"/>
  <c r="A69" i="6"/>
  <c r="G68" i="6"/>
  <c r="B68" i="6"/>
  <c r="A68" i="6"/>
  <c r="G67" i="6"/>
  <c r="B67" i="6"/>
  <c r="A67" i="6"/>
  <c r="G66" i="6"/>
  <c r="B66" i="6"/>
  <c r="A66" i="6"/>
  <c r="G65" i="6"/>
  <c r="B65" i="6"/>
  <c r="G64" i="6"/>
  <c r="B64" i="6"/>
  <c r="A64" i="6"/>
  <c r="G63" i="6"/>
  <c r="B63" i="6"/>
  <c r="G62" i="6"/>
  <c r="B62" i="6"/>
  <c r="G61" i="6"/>
  <c r="B61" i="6"/>
  <c r="A61" i="6"/>
  <c r="G60" i="6"/>
  <c r="B60" i="6"/>
  <c r="A60" i="6"/>
  <c r="G59" i="6"/>
  <c r="B59" i="6"/>
  <c r="A59" i="6"/>
  <c r="G58" i="6"/>
  <c r="B58" i="6"/>
  <c r="A58" i="6"/>
  <c r="G57" i="6"/>
  <c r="B57" i="6"/>
  <c r="A57" i="6"/>
  <c r="G56" i="6"/>
  <c r="B56" i="6"/>
  <c r="A56" i="6"/>
  <c r="G55" i="6"/>
  <c r="B55" i="6"/>
  <c r="A55" i="6"/>
  <c r="G54" i="6"/>
  <c r="B54" i="6"/>
  <c r="A54" i="6"/>
  <c r="G53" i="6"/>
  <c r="B53" i="6"/>
  <c r="A53" i="6"/>
  <c r="B52" i="6"/>
  <c r="A52" i="6"/>
  <c r="G51" i="6"/>
  <c r="B51" i="6"/>
  <c r="G50" i="6"/>
  <c r="B50" i="6"/>
  <c r="A50" i="6"/>
  <c r="G49" i="6"/>
  <c r="B49" i="6"/>
  <c r="A49" i="6"/>
  <c r="G48" i="6"/>
  <c r="B48" i="6"/>
  <c r="A48" i="6"/>
  <c r="G47" i="6"/>
  <c r="B47" i="6"/>
  <c r="A47" i="6"/>
  <c r="G46" i="6"/>
  <c r="B46" i="6"/>
  <c r="A46" i="6"/>
  <c r="G45" i="6"/>
  <c r="B45" i="6"/>
  <c r="G44" i="6"/>
  <c r="B44" i="6"/>
  <c r="A44" i="6"/>
  <c r="G43" i="6"/>
  <c r="B43" i="6"/>
  <c r="A43" i="6"/>
  <c r="G42" i="6"/>
  <c r="B42" i="6"/>
  <c r="A42" i="6"/>
  <c r="B41" i="6"/>
  <c r="A41" i="6"/>
  <c r="G40" i="6"/>
  <c r="B40" i="6"/>
  <c r="A40" i="6"/>
  <c r="G39" i="6"/>
  <c r="B39" i="6"/>
  <c r="A39" i="6"/>
  <c r="G38" i="6"/>
  <c r="B38" i="6"/>
  <c r="A38" i="6"/>
  <c r="G37" i="6"/>
  <c r="B37" i="6"/>
  <c r="A37" i="6"/>
  <c r="G36" i="6"/>
  <c r="B36" i="6"/>
  <c r="A36" i="6"/>
  <c r="G35" i="6"/>
  <c r="B35" i="6"/>
  <c r="A35" i="6"/>
  <c r="B34" i="6"/>
  <c r="A34" i="6"/>
  <c r="G33" i="6"/>
  <c r="B33" i="6"/>
  <c r="A33" i="6"/>
  <c r="G32" i="6"/>
  <c r="B32" i="6"/>
  <c r="A32" i="6"/>
  <c r="G31" i="6"/>
  <c r="B31" i="6"/>
  <c r="A31" i="6"/>
  <c r="G30" i="6"/>
  <c r="B30" i="6"/>
  <c r="A30" i="6"/>
  <c r="G29" i="6"/>
  <c r="B29" i="6"/>
  <c r="G28" i="6"/>
  <c r="B28" i="6"/>
  <c r="G27" i="6"/>
  <c r="B27" i="6"/>
  <c r="A27" i="6"/>
  <c r="G26" i="6"/>
  <c r="B26" i="6"/>
  <c r="A26" i="6"/>
  <c r="G25" i="6"/>
  <c r="B25" i="6"/>
  <c r="A25" i="6"/>
  <c r="G24" i="6"/>
  <c r="B24" i="6"/>
  <c r="A24" i="6"/>
  <c r="G23" i="6"/>
  <c r="B23" i="6"/>
  <c r="A23" i="6"/>
  <c r="G22" i="6"/>
  <c r="B22" i="6"/>
  <c r="A22" i="6"/>
  <c r="G21" i="6"/>
  <c r="B21" i="6"/>
  <c r="A21" i="6"/>
  <c r="G20" i="6"/>
  <c r="B20" i="6"/>
  <c r="A20" i="6"/>
  <c r="G19" i="6"/>
  <c r="B19" i="6"/>
  <c r="A19" i="6"/>
  <c r="G18" i="6"/>
  <c r="B18" i="6"/>
  <c r="A18" i="6"/>
  <c r="G17" i="6"/>
  <c r="B17" i="6"/>
  <c r="A17" i="6"/>
  <c r="G16" i="6"/>
  <c r="B16" i="6"/>
  <c r="A16" i="6"/>
  <c r="G15" i="6"/>
  <c r="B15" i="6"/>
  <c r="A15" i="6"/>
  <c r="B14" i="6"/>
  <c r="A14" i="6"/>
  <c r="G13" i="6"/>
  <c r="B13" i="6"/>
  <c r="A13" i="6"/>
  <c r="G12" i="6"/>
  <c r="B12" i="6"/>
  <c r="A12" i="6"/>
  <c r="G11" i="6"/>
  <c r="B11" i="6"/>
  <c r="A11" i="6"/>
  <c r="G10" i="6"/>
  <c r="B10" i="6"/>
  <c r="A10" i="6"/>
  <c r="G9" i="6"/>
  <c r="B9" i="6"/>
  <c r="A9" i="6"/>
  <c r="G8" i="6"/>
  <c r="B8" i="6"/>
  <c r="A8" i="6"/>
  <c r="G7" i="6"/>
  <c r="B7" i="6"/>
  <c r="A7" i="6"/>
  <c r="G6" i="6"/>
  <c r="B6" i="6"/>
  <c r="A6" i="6"/>
  <c r="G5" i="6"/>
  <c r="B5" i="6"/>
  <c r="A5" i="6"/>
  <c r="B4" i="6"/>
  <c r="A4" i="6"/>
  <c r="G3" i="6"/>
  <c r="B3" i="6"/>
  <c r="A3" i="6"/>
  <c r="A2" i="6"/>
  <c r="G2" i="2"/>
  <c r="G4" i="2"/>
  <c r="G5" i="2"/>
  <c r="G6" i="2"/>
  <c r="G7" i="2"/>
  <c r="G8" i="2"/>
  <c r="G9" i="2"/>
  <c r="G10" i="2"/>
  <c r="G11" i="2"/>
  <c r="G12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4" i="2"/>
  <c r="G35" i="2"/>
  <c r="G36" i="2"/>
  <c r="G37" i="2"/>
  <c r="G38" i="2"/>
  <c r="G39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5" i="2"/>
  <c r="G96" i="2"/>
  <c r="G97" i="2"/>
  <c r="G98" i="2"/>
  <c r="G99" i="2"/>
  <c r="G100" i="2"/>
  <c r="G101" i="2"/>
  <c r="G102" i="2"/>
  <c r="G103" i="2"/>
  <c r="G104" i="2"/>
  <c r="G105" i="2"/>
  <c r="J36" i="2" l="1"/>
  <c r="J69" i="2"/>
  <c r="J71" i="2"/>
  <c r="J100" i="2"/>
  <c r="J3" i="2"/>
  <c r="J26" i="2"/>
  <c r="J27" i="2"/>
  <c r="J28" i="2"/>
  <c r="J30" i="2"/>
  <c r="J33" i="2"/>
  <c r="J50" i="2"/>
  <c r="J61" i="2"/>
  <c r="J62" i="2"/>
  <c r="J104" i="2"/>
  <c r="J105" i="2"/>
  <c r="H7" i="5" l="1"/>
  <c r="Q7" i="5"/>
  <c r="H8" i="5"/>
  <c r="H9" i="5"/>
  <c r="H13" i="5"/>
  <c r="R13" i="5"/>
  <c r="H14" i="5"/>
  <c r="R14" i="5"/>
  <c r="H15" i="5"/>
  <c r="R15" i="5"/>
  <c r="H16" i="5"/>
  <c r="H17" i="5"/>
  <c r="H18" i="5"/>
  <c r="H19" i="5"/>
  <c r="H20" i="5"/>
  <c r="H21" i="5"/>
  <c r="H22" i="5"/>
  <c r="H23" i="5"/>
  <c r="H27" i="5"/>
  <c r="R27" i="5"/>
  <c r="H28" i="5"/>
  <c r="R28" i="5"/>
  <c r="H29" i="5"/>
  <c r="H30" i="5"/>
  <c r="H31" i="5"/>
  <c r="H32" i="5"/>
  <c r="H33" i="5"/>
  <c r="H37" i="5"/>
  <c r="R37" i="5"/>
  <c r="H38" i="5"/>
  <c r="R38" i="5"/>
  <c r="H39" i="5"/>
  <c r="H40" i="5"/>
  <c r="H41" i="5"/>
  <c r="H42" i="5"/>
  <c r="H43" i="5"/>
  <c r="H44" i="5"/>
  <c r="H48" i="5"/>
  <c r="R48" i="5"/>
  <c r="H49" i="5"/>
  <c r="R49" i="5"/>
  <c r="H50" i="5"/>
  <c r="R50" i="5"/>
  <c r="H51" i="5"/>
  <c r="R51" i="5"/>
  <c r="H52" i="5"/>
  <c r="R52" i="5"/>
  <c r="H53" i="5"/>
  <c r="H54" i="5"/>
  <c r="H57" i="5"/>
  <c r="R57" i="5"/>
  <c r="H62" i="5"/>
  <c r="H63" i="5"/>
  <c r="R63" i="5"/>
  <c r="H64" i="5"/>
  <c r="R64" i="5"/>
  <c r="H65" i="5"/>
  <c r="H66" i="5"/>
  <c r="H67" i="5"/>
  <c r="H71" i="5"/>
  <c r="H72" i="5"/>
  <c r="R72" i="5"/>
  <c r="H73" i="5"/>
  <c r="R73" i="5"/>
  <c r="H74" i="5"/>
  <c r="R74" i="5"/>
  <c r="H75" i="5"/>
  <c r="R75" i="5"/>
  <c r="H76" i="5"/>
  <c r="R76" i="5"/>
  <c r="H77" i="5"/>
  <c r="H81" i="5"/>
  <c r="R81" i="5"/>
  <c r="H82" i="5"/>
  <c r="R82" i="5"/>
  <c r="H83" i="5"/>
  <c r="R83" i="5"/>
  <c r="H84" i="5"/>
  <c r="R84" i="5"/>
  <c r="H85" i="5"/>
  <c r="H86" i="5"/>
  <c r="H90" i="5"/>
  <c r="R90" i="5"/>
  <c r="H91" i="5"/>
  <c r="R91" i="5"/>
  <c r="H92" i="5"/>
  <c r="H93" i="5"/>
  <c r="H97" i="5"/>
  <c r="R97" i="5"/>
  <c r="H98" i="5"/>
  <c r="R98" i="5"/>
  <c r="H99" i="5"/>
  <c r="R99" i="5"/>
  <c r="H100" i="5"/>
  <c r="R100" i="5"/>
  <c r="H101" i="5"/>
  <c r="H102" i="5"/>
  <c r="H107" i="5"/>
  <c r="H108" i="5"/>
  <c r="R108" i="5"/>
  <c r="H109" i="5"/>
  <c r="R109" i="5"/>
  <c r="H110" i="5"/>
  <c r="R110" i="5"/>
  <c r="H111" i="5"/>
  <c r="H112" i="5"/>
  <c r="H113" i="5"/>
  <c r="H114" i="5"/>
  <c r="H118" i="5"/>
  <c r="R118" i="5"/>
  <c r="H119" i="5"/>
  <c r="H120" i="5"/>
  <c r="H121" i="5"/>
  <c r="H125" i="5"/>
  <c r="R125" i="5"/>
  <c r="H126" i="5"/>
  <c r="R126" i="5"/>
  <c r="H127" i="5"/>
  <c r="H128" i="5"/>
  <c r="H129" i="5"/>
  <c r="R129" i="5"/>
  <c r="H130" i="5"/>
  <c r="R130" i="5"/>
  <c r="H131" i="5"/>
  <c r="R131" i="5"/>
  <c r="H137" i="5"/>
  <c r="R137" i="5"/>
  <c r="H138" i="5"/>
  <c r="R138" i="5"/>
  <c r="H139" i="5"/>
  <c r="H140" i="5"/>
  <c r="H141" i="5"/>
  <c r="H145" i="5"/>
  <c r="H146" i="5"/>
  <c r="R146" i="5"/>
  <c r="H147" i="5"/>
  <c r="H148" i="5"/>
  <c r="H149" i="5"/>
  <c r="H150" i="5"/>
  <c r="H154" i="5"/>
  <c r="R154" i="5"/>
  <c r="H155" i="5"/>
  <c r="H156" i="5"/>
  <c r="R156" i="5"/>
  <c r="H157" i="5"/>
  <c r="H158" i="5"/>
  <c r="H159" i="5"/>
  <c r="R160" i="5"/>
  <c r="H163" i="5"/>
  <c r="H164" i="5"/>
  <c r="R164" i="5"/>
  <c r="H165" i="5"/>
  <c r="R165" i="5"/>
  <c r="H166" i="5"/>
  <c r="R167" i="5"/>
  <c r="H169" i="5"/>
  <c r="R169" i="5"/>
  <c r="H170" i="5"/>
  <c r="H171" i="5"/>
  <c r="R171" i="5"/>
  <c r="H172" i="5"/>
  <c r="R173" i="5"/>
  <c r="H5" i="4"/>
  <c r="H4" i="4"/>
  <c r="H3" i="4"/>
  <c r="H2" i="4"/>
  <c r="O103" i="3"/>
  <c r="E102" i="3"/>
  <c r="P101" i="3"/>
  <c r="E101" i="3"/>
  <c r="P100" i="3"/>
  <c r="E100" i="3"/>
  <c r="E99" i="3"/>
  <c r="E98" i="3"/>
  <c r="E97" i="3"/>
  <c r="E96" i="3"/>
  <c r="P95" i="3"/>
  <c r="E95" i="3"/>
  <c r="E94" i="3"/>
  <c r="P93" i="3"/>
  <c r="E93" i="3"/>
  <c r="E92" i="3"/>
  <c r="E91" i="3"/>
  <c r="E90" i="3"/>
  <c r="E89" i="3"/>
  <c r="P88" i="3"/>
  <c r="E88" i="3"/>
  <c r="E87" i="3"/>
  <c r="E86" i="3"/>
  <c r="E85" i="3"/>
  <c r="E84" i="3"/>
  <c r="P83" i="3"/>
  <c r="E83" i="3"/>
  <c r="P82" i="3"/>
  <c r="E82" i="3"/>
  <c r="P81" i="3"/>
  <c r="E81" i="3"/>
  <c r="P80" i="3"/>
  <c r="E80" i="3"/>
  <c r="P79" i="3"/>
  <c r="E79" i="3"/>
  <c r="E78" i="3"/>
  <c r="E77" i="3"/>
  <c r="P76" i="3"/>
  <c r="E76" i="3"/>
  <c r="P75" i="3"/>
  <c r="E75" i="3"/>
  <c r="E74" i="3"/>
  <c r="E73" i="3"/>
  <c r="E72" i="3"/>
  <c r="P71" i="3"/>
  <c r="E71" i="3"/>
  <c r="E70" i="3"/>
  <c r="E69" i="3"/>
  <c r="E68" i="3"/>
  <c r="P67" i="3"/>
  <c r="E67" i="3"/>
  <c r="P66" i="3"/>
  <c r="E66" i="3"/>
  <c r="P65" i="3"/>
  <c r="E65" i="3"/>
  <c r="E64" i="3"/>
  <c r="E63" i="3"/>
  <c r="E62" i="3"/>
  <c r="P61" i="3"/>
  <c r="E61" i="3"/>
  <c r="P60" i="3"/>
  <c r="E60" i="3"/>
  <c r="P59" i="3"/>
  <c r="E59" i="3"/>
  <c r="P58" i="3"/>
  <c r="E58" i="3"/>
  <c r="E57" i="3"/>
  <c r="E56" i="3"/>
  <c r="P55" i="3"/>
  <c r="E55" i="3"/>
  <c r="P54" i="3"/>
  <c r="E54" i="3"/>
  <c r="E53" i="3"/>
  <c r="E52" i="3"/>
  <c r="P51" i="3"/>
  <c r="E51" i="3"/>
  <c r="P50" i="3"/>
  <c r="E50" i="3"/>
  <c r="P49" i="3"/>
  <c r="E49" i="3"/>
  <c r="P48" i="3"/>
  <c r="E48" i="3"/>
  <c r="E47" i="3"/>
  <c r="P46" i="3"/>
  <c r="E46" i="3"/>
  <c r="P45" i="3"/>
  <c r="E45" i="3"/>
  <c r="P44" i="3"/>
  <c r="E44" i="3"/>
  <c r="P43" i="3"/>
  <c r="E43" i="3"/>
  <c r="P42" i="3"/>
  <c r="E42" i="3"/>
  <c r="E41" i="3"/>
  <c r="E40" i="3"/>
  <c r="E39" i="3"/>
  <c r="E38" i="3"/>
  <c r="P37" i="3"/>
  <c r="E37" i="3"/>
  <c r="P36" i="3"/>
  <c r="E36" i="3"/>
  <c r="E35" i="3"/>
  <c r="P34" i="3"/>
  <c r="E34" i="3"/>
  <c r="E33" i="3"/>
  <c r="E32" i="3"/>
  <c r="P31" i="3"/>
  <c r="E31" i="3"/>
  <c r="P30" i="3"/>
  <c r="E30" i="3"/>
  <c r="P29" i="3"/>
  <c r="E29" i="3"/>
  <c r="P28" i="3"/>
  <c r="E28" i="3"/>
  <c r="P27" i="3"/>
  <c r="E27" i="3"/>
  <c r="E26" i="3"/>
  <c r="E25" i="3"/>
  <c r="E24" i="3"/>
  <c r="E23" i="3"/>
  <c r="E22" i="3"/>
  <c r="E21" i="3"/>
  <c r="P20" i="3"/>
  <c r="E20" i="3"/>
  <c r="P19" i="3"/>
  <c r="E19" i="3"/>
  <c r="E18" i="3"/>
  <c r="E17" i="3"/>
  <c r="E16" i="3"/>
  <c r="E15" i="3"/>
  <c r="P14" i="3"/>
  <c r="E14" i="3"/>
  <c r="P13" i="3"/>
  <c r="E13" i="3"/>
  <c r="E12" i="3"/>
  <c r="E11" i="3"/>
  <c r="E10" i="3"/>
  <c r="E9" i="3"/>
  <c r="E8" i="3"/>
  <c r="E7" i="3"/>
  <c r="E6" i="3"/>
  <c r="E5" i="3"/>
  <c r="P4" i="3"/>
  <c r="E4" i="3"/>
  <c r="P3" i="3"/>
  <c r="E3" i="3"/>
  <c r="P2" i="3"/>
  <c r="E2" i="3"/>
  <c r="B105" i="2" l="1"/>
  <c r="B104" i="2"/>
  <c r="J103" i="2"/>
  <c r="B103" i="2"/>
  <c r="A103" i="2"/>
  <c r="J102" i="2"/>
  <c r="B102" i="2"/>
  <c r="A102" i="2"/>
  <c r="J101" i="2"/>
  <c r="B101" i="2"/>
  <c r="A101" i="2"/>
  <c r="B100" i="2"/>
  <c r="A100" i="2"/>
  <c r="J99" i="2"/>
  <c r="B99" i="2"/>
  <c r="A99" i="2"/>
  <c r="J98" i="2"/>
  <c r="B98" i="2"/>
  <c r="A98" i="2"/>
  <c r="J97" i="2"/>
  <c r="B97" i="2"/>
  <c r="A97" i="2"/>
  <c r="J96" i="2"/>
  <c r="B96" i="2"/>
  <c r="A96" i="2"/>
  <c r="J95" i="2"/>
  <c r="B95" i="2"/>
  <c r="A95" i="2"/>
  <c r="J94" i="2"/>
  <c r="B94" i="2"/>
  <c r="A94" i="2"/>
  <c r="J93" i="2"/>
  <c r="B93" i="2"/>
  <c r="A93" i="2"/>
  <c r="J92" i="2"/>
  <c r="B92" i="2"/>
  <c r="A92" i="2"/>
  <c r="J91" i="2"/>
  <c r="B91" i="2"/>
  <c r="A91" i="2"/>
  <c r="J90" i="2"/>
  <c r="B90" i="2"/>
  <c r="A90" i="2"/>
  <c r="J89" i="2"/>
  <c r="B89" i="2"/>
  <c r="A89" i="2"/>
  <c r="J88" i="2"/>
  <c r="B88" i="2"/>
  <c r="A88" i="2"/>
  <c r="J87" i="2"/>
  <c r="B87" i="2"/>
  <c r="A87" i="2"/>
  <c r="J86" i="2"/>
  <c r="B86" i="2"/>
  <c r="A86" i="2"/>
  <c r="J85" i="2"/>
  <c r="B85" i="2"/>
  <c r="A85" i="2"/>
  <c r="J84" i="2"/>
  <c r="B84" i="2"/>
  <c r="A84" i="2"/>
  <c r="J83" i="2"/>
  <c r="B83" i="2"/>
  <c r="A83" i="2"/>
  <c r="J82" i="2"/>
  <c r="B82" i="2"/>
  <c r="A82" i="2"/>
  <c r="J81" i="2"/>
  <c r="B81" i="2"/>
  <c r="A81" i="2"/>
  <c r="J80" i="2"/>
  <c r="B80" i="2"/>
  <c r="A80" i="2"/>
  <c r="J79" i="2"/>
  <c r="B79" i="2"/>
  <c r="A79" i="2"/>
  <c r="J78" i="2"/>
  <c r="B78" i="2"/>
  <c r="A78" i="2"/>
  <c r="J77" i="2"/>
  <c r="B77" i="2"/>
  <c r="A77" i="2"/>
  <c r="J76" i="2"/>
  <c r="B76" i="2"/>
  <c r="A76" i="2"/>
  <c r="J75" i="2"/>
  <c r="B75" i="2"/>
  <c r="A75" i="2"/>
  <c r="J74" i="2"/>
  <c r="B74" i="2"/>
  <c r="A74" i="2"/>
  <c r="J73" i="2"/>
  <c r="B73" i="2"/>
  <c r="A73" i="2"/>
  <c r="J72" i="2"/>
  <c r="B72" i="2"/>
  <c r="A72" i="2"/>
  <c r="B71" i="2"/>
  <c r="A71" i="2"/>
  <c r="J70" i="2"/>
  <c r="B70" i="2"/>
  <c r="A70" i="2"/>
  <c r="B69" i="2"/>
  <c r="A69" i="2"/>
  <c r="J68" i="2"/>
  <c r="B68" i="2"/>
  <c r="A68" i="2"/>
  <c r="J67" i="2"/>
  <c r="B67" i="2"/>
  <c r="A67" i="2"/>
  <c r="J66" i="2"/>
  <c r="B66" i="2"/>
  <c r="A66" i="2"/>
  <c r="J65" i="2"/>
  <c r="B65" i="2"/>
  <c r="A65" i="2"/>
  <c r="J64" i="2"/>
  <c r="B64" i="2"/>
  <c r="A64" i="2"/>
  <c r="J63" i="2"/>
  <c r="B63" i="2"/>
  <c r="B62" i="2"/>
  <c r="A62" i="2"/>
  <c r="B61" i="2"/>
  <c r="B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J49" i="2"/>
  <c r="B49" i="2"/>
  <c r="A49" i="2"/>
  <c r="B48" i="2"/>
  <c r="A48" i="2"/>
  <c r="B47" i="2"/>
  <c r="A47" i="2"/>
  <c r="B46" i="2"/>
  <c r="A46" i="2"/>
  <c r="B45" i="2"/>
  <c r="A45" i="2"/>
  <c r="J44" i="2"/>
  <c r="B44" i="2"/>
  <c r="B43" i="2"/>
  <c r="A43" i="2"/>
  <c r="B42" i="2"/>
  <c r="A42" i="2"/>
  <c r="B41" i="2"/>
  <c r="A41" i="2"/>
  <c r="J40" i="2"/>
  <c r="B40" i="2"/>
  <c r="A40" i="2"/>
  <c r="B39" i="2"/>
  <c r="A39" i="2"/>
  <c r="B38" i="2"/>
  <c r="A38" i="2"/>
  <c r="B37" i="2"/>
  <c r="A37" i="2"/>
  <c r="B36" i="2"/>
  <c r="A36" i="2"/>
  <c r="B35" i="2"/>
  <c r="A35" i="2"/>
  <c r="J34" i="2"/>
  <c r="B34" i="2"/>
  <c r="A34" i="2"/>
  <c r="B33" i="2"/>
  <c r="A33" i="2"/>
  <c r="J32" i="2"/>
  <c r="B32" i="2"/>
  <c r="A32" i="2"/>
  <c r="J31" i="2"/>
  <c r="B31" i="2"/>
  <c r="A31" i="2"/>
  <c r="B30" i="2"/>
  <c r="A30" i="2"/>
  <c r="B29" i="2"/>
  <c r="A29" i="2"/>
  <c r="B28" i="2"/>
  <c r="B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J9" i="2"/>
  <c r="B9" i="2"/>
  <c r="A9" i="2"/>
  <c r="J8" i="2"/>
  <c r="B8" i="2"/>
  <c r="A8" i="2"/>
  <c r="J7" i="2"/>
  <c r="B7" i="2"/>
  <c r="A7" i="2"/>
  <c r="J6" i="2"/>
  <c r="B6" i="2"/>
  <c r="A6" i="2"/>
  <c r="B5" i="2"/>
  <c r="A5" i="2"/>
  <c r="J4" i="2"/>
  <c r="B4" i="2"/>
  <c r="A4" i="2"/>
  <c r="B3" i="2"/>
  <c r="A3" i="2"/>
  <c r="J2" i="2"/>
  <c r="B2" i="2"/>
  <c r="A2" i="2"/>
  <c r="J5" i="2" l="1"/>
  <c r="J43" i="2"/>
  <c r="J38" i="2"/>
  <c r="J29" i="2"/>
  <c r="J41" i="2"/>
  <c r="J39" i="2"/>
  <c r="J42" i="2"/>
  <c r="J37" i="2"/>
  <c r="J60" i="2"/>
  <c r="J10" i="2"/>
  <c r="J14" i="2"/>
  <c r="J18" i="2"/>
  <c r="J22" i="2"/>
  <c r="J24" i="2"/>
  <c r="J45" i="2"/>
  <c r="J47" i="2"/>
  <c r="J52" i="2"/>
  <c r="J54" i="2"/>
  <c r="J56" i="2"/>
  <c r="J58" i="2"/>
  <c r="J12" i="2"/>
  <c r="J16" i="2"/>
  <c r="J20" i="2"/>
  <c r="J11" i="2"/>
  <c r="J13" i="2"/>
  <c r="J15" i="2"/>
  <c r="J17" i="2"/>
  <c r="J19" i="2"/>
  <c r="J21" i="2"/>
  <c r="J23" i="2"/>
  <c r="J25" i="2"/>
  <c r="J35" i="2"/>
  <c r="J46" i="2"/>
  <c r="J48" i="2"/>
  <c r="J51" i="2"/>
  <c r="J53" i="2"/>
  <c r="J55" i="2"/>
  <c r="J57" i="2"/>
  <c r="J59" i="2"/>
</calcChain>
</file>

<file path=xl/sharedStrings.xml><?xml version="1.0" encoding="utf-8"?>
<sst xmlns="http://schemas.openxmlformats.org/spreadsheetml/2006/main" count="2379" uniqueCount="657">
  <si>
    <t>Branch</t>
  </si>
  <si>
    <t>Divisi</t>
  </si>
  <si>
    <t>Kode Sales</t>
  </si>
  <si>
    <t>Februari</t>
  </si>
  <si>
    <t>Masuk</t>
  </si>
  <si>
    <t>Keluar</t>
  </si>
  <si>
    <t>NIK</t>
  </si>
  <si>
    <t>No Rek</t>
  </si>
  <si>
    <t>Nama</t>
  </si>
  <si>
    <t>ELMOD01</t>
  </si>
  <si>
    <t>ELMOD02</t>
  </si>
  <si>
    <t>Okky Maulana Ekwanur</t>
  </si>
  <si>
    <t>PMD2602004</t>
  </si>
  <si>
    <t>0084433621</t>
  </si>
  <si>
    <t>ELSLE01</t>
  </si>
  <si>
    <t>ELSLE02</t>
  </si>
  <si>
    <t>ELSLE03</t>
  </si>
  <si>
    <t>ELSLE04</t>
  </si>
  <si>
    <t>ELSLE05</t>
  </si>
  <si>
    <t>ELCOS01</t>
  </si>
  <si>
    <t>Nur Ali</t>
  </si>
  <si>
    <t>ELSLE25</t>
  </si>
  <si>
    <t>Kiki Hadisurya</t>
  </si>
  <si>
    <t>ELSLE60</t>
  </si>
  <si>
    <t>NURFADILAH</t>
  </si>
  <si>
    <t>ELSLE61</t>
  </si>
  <si>
    <t>FANJI BERLIANDY AZHARI RIDZKI</t>
  </si>
  <si>
    <t>ELSLE62</t>
  </si>
  <si>
    <t>ADE TRIHANDOYO</t>
  </si>
  <si>
    <t>ELSLE63</t>
  </si>
  <si>
    <t>FIDYAH FAROID</t>
  </si>
  <si>
    <t>ELSLE64</t>
  </si>
  <si>
    <t>ELSLE65</t>
  </si>
  <si>
    <t>IPAN WIGUNA</t>
  </si>
  <si>
    <t>ELSLE71</t>
  </si>
  <si>
    <t>Firmansyah</t>
  </si>
  <si>
    <t>ELSLE72</t>
  </si>
  <si>
    <t>Dhia Ul Iman</t>
  </si>
  <si>
    <t>ELSLE73</t>
  </si>
  <si>
    <t>Veby Rizky Fauzi</t>
  </si>
  <si>
    <t>ELSLE74</t>
  </si>
  <si>
    <t>Dian Haerandi</t>
  </si>
  <si>
    <t>ELSLE75</t>
  </si>
  <si>
    <t>ELSLE85</t>
  </si>
  <si>
    <t>ELSLE86</t>
  </si>
  <si>
    <t>ELSLE87</t>
  </si>
  <si>
    <t>ELSLE88</t>
  </si>
  <si>
    <t>ELSLE89</t>
  </si>
  <si>
    <t>Krisna Adi Nugraha</t>
  </si>
  <si>
    <t>PMD2602008</t>
  </si>
  <si>
    <t>8330055473</t>
  </si>
  <si>
    <t>Bogor</t>
  </si>
  <si>
    <t>ELCOS08</t>
  </si>
  <si>
    <t>PMB2211002</t>
  </si>
  <si>
    <t>0380581647</t>
  </si>
  <si>
    <t>ELSPV08</t>
  </si>
  <si>
    <t>PMB2405002</t>
  </si>
  <si>
    <t>0953571843</t>
  </si>
  <si>
    <t>ICSLM01</t>
  </si>
  <si>
    <t>ICSLM03</t>
  </si>
  <si>
    <t>WAHYU RANGGA PERMANA</t>
  </si>
  <si>
    <t>PMD2602002</t>
  </si>
  <si>
    <t>7405373343</t>
  </si>
  <si>
    <t>ICSLM05</t>
  </si>
  <si>
    <t>Satria Pamungkas</t>
  </si>
  <si>
    <t>ICSLM06</t>
  </si>
  <si>
    <t>ICSLM07</t>
  </si>
  <si>
    <t>PMD1807011</t>
  </si>
  <si>
    <t>ICSLM08</t>
  </si>
  <si>
    <t>Moch Armando Vebby</t>
  </si>
  <si>
    <t>ICSLM09</t>
  </si>
  <si>
    <t>Antonius</t>
  </si>
  <si>
    <t>PMD2602010</t>
  </si>
  <si>
    <t>5150095231</t>
  </si>
  <si>
    <t>ICSLM21</t>
  </si>
  <si>
    <t>Ujang Sulaeman</t>
  </si>
  <si>
    <t>ICSLM22</t>
  </si>
  <si>
    <t>Ahmad Sanusi</t>
  </si>
  <si>
    <t>ICSLM23</t>
  </si>
  <si>
    <t>Bonar Jumada</t>
  </si>
  <si>
    <t>ICSLM28</t>
  </si>
  <si>
    <t>ICSLM71</t>
  </si>
  <si>
    <t>ICSLM72</t>
  </si>
  <si>
    <t>ICSLM73</t>
  </si>
  <si>
    <t>ICCOS08</t>
  </si>
  <si>
    <t>Ramli Nasution</t>
  </si>
  <si>
    <t>ICSLM81</t>
  </si>
  <si>
    <t>ICSLM82</t>
  </si>
  <si>
    <t>ICSLM83</t>
  </si>
  <si>
    <t>ICSLM84</t>
  </si>
  <si>
    <t>ICSLM85</t>
  </si>
  <si>
    <t>ICSPV08</t>
  </si>
  <si>
    <t>ZAINAL HAKIKI</t>
  </si>
  <si>
    <t>PMD2509001</t>
  </si>
  <si>
    <t>6820539786</t>
  </si>
  <si>
    <t>PISLP01</t>
  </si>
  <si>
    <t>ASEP SOPIYAN</t>
  </si>
  <si>
    <t>PISLP02</t>
  </si>
  <si>
    <t>Hari Wiharyana</t>
  </si>
  <si>
    <t>PISLP03</t>
  </si>
  <si>
    <t>PISLP04</t>
  </si>
  <si>
    <t>PISLP05</t>
  </si>
  <si>
    <t>PISLP06</t>
  </si>
  <si>
    <t>PISLP07</t>
  </si>
  <si>
    <t>Bagus Gumilar</t>
  </si>
  <si>
    <t>PISLP08</t>
  </si>
  <si>
    <t>Muhammad Riki Safari</t>
  </si>
  <si>
    <t>PISLP09</t>
  </si>
  <si>
    <t>IKHSAN MAULANA YUSUF</t>
  </si>
  <si>
    <t>Bandung</t>
  </si>
  <si>
    <t>PISLP10</t>
  </si>
  <si>
    <t>PISLP11</t>
  </si>
  <si>
    <t>Rizal Zaelani</t>
  </si>
  <si>
    <t>PMD2512003</t>
  </si>
  <si>
    <t>4461503378</t>
  </si>
  <si>
    <t>PICOS01</t>
  </si>
  <si>
    <t>RICKI GALIH GINANJAR</t>
  </si>
  <si>
    <t>1560107931</t>
  </si>
  <si>
    <t>PICOS21</t>
  </si>
  <si>
    <t>BILLY SUGIARTO</t>
  </si>
  <si>
    <t>PISLP26</t>
  </si>
  <si>
    <t>Afif Mustafa</t>
  </si>
  <si>
    <t>PISLP60</t>
  </si>
  <si>
    <t>Budi Handoko</t>
  </si>
  <si>
    <t>BUDI HANDOKO</t>
  </si>
  <si>
    <t>PISLP61</t>
  </si>
  <si>
    <t>Hernado</t>
  </si>
  <si>
    <t>HERNADO</t>
  </si>
  <si>
    <t>PISLP62</t>
  </si>
  <si>
    <t>Mochamad Triana</t>
  </si>
  <si>
    <t>MOCHAMAD TRIANA</t>
  </si>
  <si>
    <t>PISLP71</t>
  </si>
  <si>
    <t>Dudi Sidik Permana</t>
  </si>
  <si>
    <t>PISLP72</t>
  </si>
  <si>
    <t>Jaka Purnama</t>
  </si>
  <si>
    <t>PMD2602006</t>
  </si>
  <si>
    <t>6880400809</t>
  </si>
  <si>
    <t>PISLP73</t>
  </si>
  <si>
    <t>PISLP74</t>
  </si>
  <si>
    <t>RD. SANNY SOEDJONO, SE</t>
  </si>
  <si>
    <t>PMD2602009</t>
  </si>
  <si>
    <t>2090803967</t>
  </si>
  <si>
    <t>PISLP75</t>
  </si>
  <si>
    <t>PISLP81</t>
  </si>
  <si>
    <t>Lili Murtado</t>
  </si>
  <si>
    <t>PISLP82</t>
  </si>
  <si>
    <t>Mulyadi</t>
  </si>
  <si>
    <t>PISLP83</t>
  </si>
  <si>
    <t>Febiansyah</t>
  </si>
  <si>
    <t>PISLP84</t>
  </si>
  <si>
    <t>Artanto</t>
  </si>
  <si>
    <t>PISLP85</t>
  </si>
  <si>
    <t>PPSLM01</t>
  </si>
  <si>
    <t>Agus Gunawan</t>
  </si>
  <si>
    <t>PPSLM02</t>
  </si>
  <si>
    <t>TEGOEH PRAMONO</t>
  </si>
  <si>
    <t>PPSLM03</t>
  </si>
  <si>
    <t>PPSLM04</t>
  </si>
  <si>
    <t>Andre Setiawan</t>
  </si>
  <si>
    <t>PPSLM05</t>
  </si>
  <si>
    <t>PPSLM06</t>
  </si>
  <si>
    <t>Erlan Sopiana</t>
  </si>
  <si>
    <t>PPSLM07</t>
  </si>
  <si>
    <t>LEO FERDIANSYAH</t>
  </si>
  <si>
    <t>PPSLM08</t>
  </si>
  <si>
    <t>Hendikus Waruwu</t>
  </si>
  <si>
    <t>PPSLM09</t>
  </si>
  <si>
    <t>ASTON VILLA</t>
  </si>
  <si>
    <t>PPSLM24</t>
  </si>
  <si>
    <t>Asep Anang Rusmana</t>
  </si>
  <si>
    <t>PPSLM60</t>
  </si>
  <si>
    <t>Deni Junaeni Adriyadi</t>
  </si>
  <si>
    <t>DENI JUNAENI ADRIYADI</t>
  </si>
  <si>
    <t>PPSLM61</t>
  </si>
  <si>
    <t>Imam Santoso</t>
  </si>
  <si>
    <t>IMAM SANTOSO</t>
  </si>
  <si>
    <t>PPSLM62</t>
  </si>
  <si>
    <t>Rahman Adi Kusuma</t>
  </si>
  <si>
    <t>RAHMAN ADI KUSUMA</t>
  </si>
  <si>
    <t>PPSLM63</t>
  </si>
  <si>
    <t>Rohmanudin</t>
  </si>
  <si>
    <t>ROHMANUDIN</t>
  </si>
  <si>
    <t>PPSLM64</t>
  </si>
  <si>
    <t>Willyanto</t>
  </si>
  <si>
    <t>WILLYANTO</t>
  </si>
  <si>
    <t>PPSLM65</t>
  </si>
  <si>
    <t>Abdurokhim</t>
  </si>
  <si>
    <t>ABDUROKHIM</t>
  </si>
  <si>
    <t>PPSLM71</t>
  </si>
  <si>
    <t>PPSLM72</t>
  </si>
  <si>
    <t>ADITYA APTA TRIPURNA</t>
  </si>
  <si>
    <t>PPSLM73</t>
  </si>
  <si>
    <t>ANGGA DWITAMA</t>
  </si>
  <si>
    <t>PPSLM74</t>
  </si>
  <si>
    <t>Asep Rachmat Sapaat</t>
  </si>
  <si>
    <t>PPSLM75</t>
  </si>
  <si>
    <t>IRFAN SETIAWAN</t>
  </si>
  <si>
    <t>PPSLM85</t>
  </si>
  <si>
    <t>Abdul Agus</t>
  </si>
  <si>
    <t>PPSLM86</t>
  </si>
  <si>
    <t>PMD2602007</t>
  </si>
  <si>
    <t>7080350729</t>
  </si>
  <si>
    <t>PPSLM87</t>
  </si>
  <si>
    <t>Ahmad Daud Abdullah</t>
  </si>
  <si>
    <t>PPSLM88</t>
  </si>
  <si>
    <t>Rian Rudian</t>
  </si>
  <si>
    <t>PPSLM89</t>
  </si>
  <si>
    <t>Gati Kusmanto</t>
  </si>
  <si>
    <t>PPCOS08</t>
  </si>
  <si>
    <t>PMB2307003</t>
  </si>
  <si>
    <t>8410839165</t>
  </si>
  <si>
    <t>PPSPV08</t>
  </si>
  <si>
    <t>PT. Pancamas Pipasakti - Periode 1 - 28 Februari 2026 (Salesman)</t>
  </si>
  <si>
    <t>S</t>
  </si>
  <si>
    <t>I / C</t>
  </si>
  <si>
    <t>A</t>
  </si>
  <si>
    <t>St</t>
  </si>
  <si>
    <t>FIX</t>
  </si>
  <si>
    <t>Nu</t>
  </si>
  <si>
    <t>ABSEN</t>
  </si>
  <si>
    <t>Lama Kerja</t>
  </si>
  <si>
    <t>No AC</t>
  </si>
  <si>
    <t>Dept and Location</t>
  </si>
  <si>
    <t>Tgl Resign</t>
  </si>
  <si>
    <t>Posisi</t>
  </si>
  <si>
    <t>Tgl Masuk</t>
  </si>
  <si>
    <t>Agama</t>
  </si>
  <si>
    <t>Tgl Lahir</t>
  </si>
  <si>
    <t>Keterangan</t>
  </si>
  <si>
    <t>ALL Divisi Bandung</t>
  </si>
  <si>
    <t>Marketing Online</t>
  </si>
  <si>
    <t>ST</t>
  </si>
  <si>
    <t>NO</t>
  </si>
  <si>
    <t>PMD2002003</t>
  </si>
  <si>
    <t>Fanny Aisiyah Zuliani</t>
  </si>
  <si>
    <t>Coordinator Marketing Online Departement Soekarno Hatta</t>
  </si>
  <si>
    <t>Islam</t>
  </si>
  <si>
    <t>PMD2408004</t>
  </si>
  <si>
    <t>3790895125</t>
  </si>
  <si>
    <t>Enok Rina Hasanah</t>
  </si>
  <si>
    <t>Marketing Online Departement Soekarno Hatta</t>
  </si>
  <si>
    <t>PMD2502003</t>
  </si>
  <si>
    <t>7753136314</t>
  </si>
  <si>
    <t>Yuli Sartika</t>
  </si>
  <si>
    <t>Pipamas Bandung</t>
  </si>
  <si>
    <t>Sales Pipamas</t>
  </si>
  <si>
    <t>PMD2207003</t>
  </si>
  <si>
    <t>Ricki Galih Ginanjar</t>
  </si>
  <si>
    <t xml:space="preserve">Coordinator Sales Pipamas Division </t>
  </si>
  <si>
    <t>PMD2109007</t>
  </si>
  <si>
    <t>Sales Pipamas Staff Soekarno Hatta</t>
  </si>
  <si>
    <t>PMD2210008</t>
  </si>
  <si>
    <t>0083879235</t>
  </si>
  <si>
    <t>PMD2503003</t>
  </si>
  <si>
    <t>7750965185</t>
  </si>
  <si>
    <t>Aditya Muhammad Ramdhan</t>
  </si>
  <si>
    <t>PMD2503004</t>
  </si>
  <si>
    <t>1560108695</t>
  </si>
  <si>
    <t>Gugun Hanafi</t>
  </si>
  <si>
    <t>PMD2505002</t>
  </si>
  <si>
    <t>4310478577</t>
  </si>
  <si>
    <t>Anre Ikhsan Rosyadi</t>
  </si>
  <si>
    <t>PMD2508004</t>
  </si>
  <si>
    <t>8320689768</t>
  </si>
  <si>
    <t>Ikhsan Maulana Yusuf</t>
  </si>
  <si>
    <t>PMD2508010</t>
  </si>
  <si>
    <t>3790592777</t>
  </si>
  <si>
    <t>Asep Sopiyan</t>
  </si>
  <si>
    <t>PMD2509003</t>
  </si>
  <si>
    <t>2800939910</t>
  </si>
  <si>
    <t>PMD2512006</t>
  </si>
  <si>
    <t>Billy Sugiarto</t>
  </si>
  <si>
    <t>Elektrik Bandung</t>
  </si>
  <si>
    <t>Sales Elektrik</t>
  </si>
  <si>
    <t>PMD2201011</t>
  </si>
  <si>
    <t>Ridwan Fauzan Firdaus</t>
  </si>
  <si>
    <t>Sales Electric Staff Soekarno Hatta</t>
  </si>
  <si>
    <t>PMD2205003</t>
  </si>
  <si>
    <t>Hasudungan</t>
  </si>
  <si>
    <t>PMD2408006</t>
  </si>
  <si>
    <t xml:space="preserve">Syamsul Palah </t>
  </si>
  <si>
    <t>PMD2412001</t>
  </si>
  <si>
    <t>7495077144</t>
  </si>
  <si>
    <t>Ghisan Al Azhali</t>
  </si>
  <si>
    <t>PMD2512005</t>
  </si>
  <si>
    <t>1390637132</t>
  </si>
  <si>
    <t>Virsqi Indra Perdana</t>
  </si>
  <si>
    <t>PMD2512008</t>
  </si>
  <si>
    <t>3741721129</t>
  </si>
  <si>
    <t>Renaldi Agustiana Yusuf</t>
  </si>
  <si>
    <t>Pipe &amp; Pump Bandung</t>
  </si>
  <si>
    <t>Sales Pipe &amp; Pump</t>
  </si>
  <si>
    <t>PMD2012002</t>
  </si>
  <si>
    <t>0631281850</t>
  </si>
  <si>
    <t>Aston Villa</t>
  </si>
  <si>
    <t>Sales Coordinator Pipe &amp; Pump Division Soekarno Hatta</t>
  </si>
  <si>
    <t>HOLD</t>
  </si>
  <si>
    <t>PMD2402001</t>
  </si>
  <si>
    <t>8103039361</t>
  </si>
  <si>
    <t>Sales Pipe &amp; Pump Staff Soekarno Hatta</t>
  </si>
  <si>
    <t>PMD2407002</t>
  </si>
  <si>
    <t>1760287934</t>
  </si>
  <si>
    <t>PMD2502005</t>
  </si>
  <si>
    <t>2801445111</t>
  </si>
  <si>
    <t>PMD2506001</t>
  </si>
  <si>
    <t>8106058160</t>
  </si>
  <si>
    <t>Katolik</t>
  </si>
  <si>
    <t>PMD2107003</t>
  </si>
  <si>
    <t>Yus Yusuf Angga Setiabudi</t>
  </si>
  <si>
    <t>PMD2511002</t>
  </si>
  <si>
    <t>2831900280</t>
  </si>
  <si>
    <t>Tegoeh Pramono</t>
  </si>
  <si>
    <t>PMD2511004</t>
  </si>
  <si>
    <t>1392396947</t>
  </si>
  <si>
    <t>Leo Ferdiansyah</t>
  </si>
  <si>
    <t>Ici Bandung</t>
  </si>
  <si>
    <t>Sales Ici</t>
  </si>
  <si>
    <t>PMD2111013</t>
  </si>
  <si>
    <t>Rahmat Hidayat</t>
  </si>
  <si>
    <t>Sales Paint Staff Soekarno Hatta</t>
  </si>
  <si>
    <t>PMD2112004</t>
  </si>
  <si>
    <t>Sales Supervisor Paint Staff Soekarno Hatta</t>
  </si>
  <si>
    <t>PMD2201008</t>
  </si>
  <si>
    <t>Andi Kurniawan</t>
  </si>
  <si>
    <t>PMD2206002</t>
  </si>
  <si>
    <t>Sales Coordinator Paint Division</t>
  </si>
  <si>
    <t>PMD2308002</t>
  </si>
  <si>
    <t>2832258475</t>
  </si>
  <si>
    <t>Ikhwan Fiddin</t>
  </si>
  <si>
    <t>Wahyu Rangga Permana</t>
  </si>
  <si>
    <t>Sales Powertools Staff Soekarno Hatta</t>
  </si>
  <si>
    <t>Sales Modern Market</t>
  </si>
  <si>
    <t>PMD2205006</t>
  </si>
  <si>
    <t>Sales Coordinator Electric Soekarno Hatta</t>
  </si>
  <si>
    <t>All Divisi Bogor</t>
  </si>
  <si>
    <t>Ici Bogor</t>
  </si>
  <si>
    <t>Sales Ici Bogor</t>
  </si>
  <si>
    <t>PMB2506001</t>
  </si>
  <si>
    <t>7380496873</t>
  </si>
  <si>
    <t>Sales ICI Coordinator Bogor</t>
  </si>
  <si>
    <t>PMB1909012</t>
  </si>
  <si>
    <t>Lucky Gema Christyan Syah</t>
  </si>
  <si>
    <t>Sales ICI Staff Bogor</t>
  </si>
  <si>
    <t>PMB2105004</t>
  </si>
  <si>
    <t>Zaenudin</t>
  </si>
  <si>
    <t>PMB2405006</t>
  </si>
  <si>
    <t>0953412346</t>
  </si>
  <si>
    <t>Asep Permana Noor</t>
  </si>
  <si>
    <t>PMB2411002</t>
  </si>
  <si>
    <t>1672882235</t>
  </si>
  <si>
    <t>Fajar Nugraha</t>
  </si>
  <si>
    <t>Zainal Hakiki</t>
  </si>
  <si>
    <t>Sales ICI Supervisor Bogor</t>
  </si>
  <si>
    <t xml:space="preserve"> Elektrik Bogor</t>
  </si>
  <si>
    <t>Sales Elektrik Bogor</t>
  </si>
  <si>
    <t>Nanda Amelia</t>
  </si>
  <si>
    <t>Sales Pipe &amp; Pump &amp; Electric Supervisor Bogor</t>
  </si>
  <si>
    <t>PMB2009005</t>
  </si>
  <si>
    <t>Muhamad Hasan</t>
  </si>
  <si>
    <t>Sales Electric Staff Bogor</t>
  </si>
  <si>
    <t>PMB2112002</t>
  </si>
  <si>
    <t>Ryan Novi Handoko</t>
  </si>
  <si>
    <t>Endriyanto</t>
  </si>
  <si>
    <t>Coordinator Sales Electric Bogor</t>
  </si>
  <si>
    <t>PMB2405003</t>
  </si>
  <si>
    <t>3720066482</t>
  </si>
  <si>
    <t>Syahri Rizki</t>
  </si>
  <si>
    <t>PMB2212002</t>
  </si>
  <si>
    <t>Wahyu Widiana</t>
  </si>
  <si>
    <t xml:space="preserve"> Pipe &amp; Pump Bogor</t>
  </si>
  <si>
    <t>Sales Pipe &amp; Pump Bogor</t>
  </si>
  <si>
    <t>PMB2207003</t>
  </si>
  <si>
    <t>1742087799</t>
  </si>
  <si>
    <t>Sales Pipe &amp; Pump Staff Bogor</t>
  </si>
  <si>
    <t>PMB2302004</t>
  </si>
  <si>
    <t>7120059186</t>
  </si>
  <si>
    <t>Ida Sugiarti</t>
  </si>
  <si>
    <t>Coordinator Sales Pipe &amp; Pump Bogor</t>
  </si>
  <si>
    <t>PMB2212001</t>
  </si>
  <si>
    <t>0630100844</t>
  </si>
  <si>
    <t>PMD2508009</t>
  </si>
  <si>
    <t>8720170974</t>
  </si>
  <si>
    <t>Henri Hermawan Saputro</t>
  </si>
  <si>
    <t>Pipamas Bogor</t>
  </si>
  <si>
    <t>Sales Pipamas Bogor</t>
  </si>
  <si>
    <t>PMB2110006</t>
  </si>
  <si>
    <t>Sales Pipamas Staff Bogor</t>
  </si>
  <si>
    <t>PMB2212003</t>
  </si>
  <si>
    <t>5470418682</t>
  </si>
  <si>
    <t>PMD2510002</t>
  </si>
  <si>
    <t>0953302303</t>
  </si>
  <si>
    <t>PMD2512012</t>
  </si>
  <si>
    <t>4270520851</t>
  </si>
  <si>
    <t>Ici Pck</t>
  </si>
  <si>
    <t>Sales Pck</t>
  </si>
  <si>
    <t>PMK1809003</t>
  </si>
  <si>
    <t>5770551341</t>
  </si>
  <si>
    <t>Sales Paint Staff Karawang</t>
  </si>
  <si>
    <t>Kristen</t>
  </si>
  <si>
    <t>PMK2011003</t>
  </si>
  <si>
    <t>PMK2112008</t>
  </si>
  <si>
    <t>Sales Pipe &amp; Pump Staff Karawang</t>
  </si>
  <si>
    <t>PMK2306002</t>
  </si>
  <si>
    <t>0662788285</t>
  </si>
  <si>
    <t>Sales Pipamas Staff Karawang</t>
  </si>
  <si>
    <t>PMK2412001</t>
  </si>
  <si>
    <t>0087042531</t>
  </si>
  <si>
    <t>Sales Electric Staff Karawang</t>
  </si>
  <si>
    <t>PMD2508008</t>
  </si>
  <si>
    <t>5745718288</t>
  </si>
  <si>
    <t>All Divisi Cirebon</t>
  </si>
  <si>
    <t>Electric Cirebon</t>
  </si>
  <si>
    <t>Sales Electric Cirebon</t>
  </si>
  <si>
    <t>PMC2204005</t>
  </si>
  <si>
    <t>Ismanto</t>
  </si>
  <si>
    <t>Sales Electric, Pipamas, Pipe &amp; Pump Supervisor Cirebon</t>
  </si>
  <si>
    <t>PMC2112006</t>
  </si>
  <si>
    <t>Fanji Berliandy Azhari Ridzki</t>
  </si>
  <si>
    <t>Sales Electric Staff Cirebon</t>
  </si>
  <si>
    <t>PMC2203003</t>
  </si>
  <si>
    <t>Moch Apip</t>
  </si>
  <si>
    <t>Coordinator Sales Electric Cirebon</t>
  </si>
  <si>
    <t>PMC2301001</t>
  </si>
  <si>
    <t>1342293292</t>
  </si>
  <si>
    <t>Nurfadilah</t>
  </si>
  <si>
    <t>PMC2407004</t>
  </si>
  <si>
    <t>Fidyah Faroid</t>
  </si>
  <si>
    <t>PMC2412003</t>
  </si>
  <si>
    <t>2991983084</t>
  </si>
  <si>
    <t>Ipan Wiguna</t>
  </si>
  <si>
    <t>PMC2502002</t>
  </si>
  <si>
    <t>1342833637</t>
  </si>
  <si>
    <t>Eko Yoga Prawira</t>
  </si>
  <si>
    <t>PMC2507002</t>
  </si>
  <si>
    <t>Ade Trihandoyo</t>
  </si>
  <si>
    <t>Pipamas Cirebon</t>
  </si>
  <si>
    <t>Sales Pipamas Cirebon</t>
  </si>
  <si>
    <t>PMC2007006</t>
  </si>
  <si>
    <t>Rastha Kawistara</t>
  </si>
  <si>
    <t>Coordinator Sales Pipamas Cirebon</t>
  </si>
  <si>
    <t>PMC2506002</t>
  </si>
  <si>
    <t>1342304294</t>
  </si>
  <si>
    <t>Sales Pipamas Staff Cirebon</t>
  </si>
  <si>
    <t>PMC2507001</t>
  </si>
  <si>
    <t>8180252151</t>
  </si>
  <si>
    <t>PMC2508001</t>
  </si>
  <si>
    <t>8180322745</t>
  </si>
  <si>
    <t>Pompa Cirebon</t>
  </si>
  <si>
    <t>Sales Pompa Cirebon</t>
  </si>
  <si>
    <t>PMC2209001</t>
  </si>
  <si>
    <t>Aldy Sulistio</t>
  </si>
  <si>
    <t>Coordinator Sales Pipe &amp; Pump Cirebon</t>
  </si>
  <si>
    <t>PMC2405001</t>
  </si>
  <si>
    <t>3741559241</t>
  </si>
  <si>
    <t>Sales Pipe &amp; Pump Staff Cirebon</t>
  </si>
  <si>
    <t>PMC2407003</t>
  </si>
  <si>
    <t>PMC2408001</t>
  </si>
  <si>
    <t>PMC2306001</t>
  </si>
  <si>
    <t>1341798898</t>
  </si>
  <si>
    <t>PMC2405002</t>
  </si>
  <si>
    <t>3741569866</t>
  </si>
  <si>
    <t>PMC2204004</t>
  </si>
  <si>
    <t>All Divisi Tasikmalaya</t>
  </si>
  <si>
    <t>Pipamas Tasikmalaya</t>
  </si>
  <si>
    <t>Sales Pipamas Tasikmalaya</t>
  </si>
  <si>
    <t>PMT2209001</t>
  </si>
  <si>
    <t>0541950825</t>
  </si>
  <si>
    <t>Ar Ar Satia Rahmat</t>
  </si>
  <si>
    <t>Sales Pipamas Coordinator Tasikmalaya</t>
  </si>
  <si>
    <t>PMT2209002</t>
  </si>
  <si>
    <t>Sales Pipamas Staff Tasikmalaya</t>
  </si>
  <si>
    <t>PMT2505001</t>
  </si>
  <si>
    <t>2080770807</t>
  </si>
  <si>
    <t>Eri Aprilian Rusliana</t>
  </si>
  <si>
    <t>Rd. Sanny Soedjono, SE</t>
  </si>
  <si>
    <t>Elektrik Tasikmalaya</t>
  </si>
  <si>
    <t>Sales Elektrik Tasikmalaya</t>
  </si>
  <si>
    <t>PMT1910005</t>
  </si>
  <si>
    <t>0540741735</t>
  </si>
  <si>
    <t>Rikza Maulana</t>
  </si>
  <si>
    <t>Sales Coordinator Electric Division Tasikmalaya</t>
  </si>
  <si>
    <t>PMT2206001</t>
  </si>
  <si>
    <t>Sales Electric Staff Tasikmalaya</t>
  </si>
  <si>
    <t>PMT2406003</t>
  </si>
  <si>
    <t>3211177428</t>
  </si>
  <si>
    <t>PMT2409001</t>
  </si>
  <si>
    <t>PMT2501001</t>
  </si>
  <si>
    <t>3210680810</t>
  </si>
  <si>
    <t>Jejen Al Kohiri</t>
  </si>
  <si>
    <t>PMT2506001</t>
  </si>
  <si>
    <t>3211265807</t>
  </si>
  <si>
    <t>Pompa Tasikmalaya</t>
  </si>
  <si>
    <t>Sales Pompa Tasikmalaya</t>
  </si>
  <si>
    <t>PMT1907023</t>
  </si>
  <si>
    <t>0540714282</t>
  </si>
  <si>
    <t>Asep Mamat Harisudin</t>
  </si>
  <si>
    <t>Coordinator Sales Pipe &amp; Pump Tasikmalaya</t>
  </si>
  <si>
    <t>PMT2506003</t>
  </si>
  <si>
    <t>0542132653</t>
  </si>
  <si>
    <t>Sales Pipe &amp; Pump Staff Tasikmalaya</t>
  </si>
  <si>
    <t>PMT2212001</t>
  </si>
  <si>
    <t>0542022157</t>
  </si>
  <si>
    <t>Aditya Apta Tripurna</t>
  </si>
  <si>
    <t>PMD2510001</t>
  </si>
  <si>
    <t>1381618345</t>
  </si>
  <si>
    <t>Angga Dwitama</t>
  </si>
  <si>
    <t>PMD2512010</t>
  </si>
  <si>
    <t>6235063992</t>
  </si>
  <si>
    <t>Edi Rosadi</t>
  </si>
  <si>
    <t>PMD2512002</t>
  </si>
  <si>
    <t>1381641738</t>
  </si>
  <si>
    <t>Irfan Setiawan</t>
  </si>
  <si>
    <t>Ici Tasikmalaya</t>
  </si>
  <si>
    <t>Sales Ici Tasikmalaya</t>
  </si>
  <si>
    <t>PMT1910006</t>
  </si>
  <si>
    <t>Ade Hendra</t>
  </si>
  <si>
    <t>Sales ICI Coordinator Tasikmalaya</t>
  </si>
  <si>
    <t>PMT2208001</t>
  </si>
  <si>
    <t>Septian Hermansyah</t>
  </si>
  <si>
    <t>Sales ICI Staff Tasikmalaya</t>
  </si>
  <si>
    <t>PMT2112005</t>
  </si>
  <si>
    <t>3210847285</t>
  </si>
  <si>
    <t>Faizal Abdul Jabbar</t>
  </si>
  <si>
    <t>PMT2506002</t>
  </si>
  <si>
    <t>0541621678</t>
  </si>
  <si>
    <t>Nandang Tata Yusmana</t>
  </si>
  <si>
    <t>Karyawan Sudah Resign</t>
  </si>
  <si>
    <t>PMD2201006</t>
  </si>
  <si>
    <t>Dadan Hardiansah Putra</t>
  </si>
  <si>
    <t>PMB2411001</t>
  </si>
  <si>
    <t>0954790581</t>
  </si>
  <si>
    <t>Antonio Rifaldo</t>
  </si>
  <si>
    <t>PMT2010001</t>
  </si>
  <si>
    <t>0541428037</t>
  </si>
  <si>
    <t>Rudi Ruswandi</t>
  </si>
  <si>
    <t>PMD2601002</t>
  </si>
  <si>
    <t>6610706418</t>
  </si>
  <si>
    <t>Fitrah Ramadhan</t>
  </si>
  <si>
    <t>RIDWAN FAUZAN FIRDAUS</t>
  </si>
  <si>
    <t>OKKY MAULANA EKWANUR</t>
  </si>
  <si>
    <t>RENALDI AGUSTIANA YUSUF</t>
  </si>
  <si>
    <t>SYAMSUL PALAH</t>
  </si>
  <si>
    <t>GHISAN AL AZHALI</t>
  </si>
  <si>
    <t>HASUDUNGAN</t>
  </si>
  <si>
    <t>NUR ALI</t>
  </si>
  <si>
    <t>KIKI HADISURYA</t>
  </si>
  <si>
    <t>EKO YOGA PRAWIRA</t>
  </si>
  <si>
    <t>FIRMANSYAH</t>
  </si>
  <si>
    <t>DHIA UL IMAN</t>
  </si>
  <si>
    <t>VEBY RIZKY FAUZI</t>
  </si>
  <si>
    <t>DIAN HAERANDI</t>
  </si>
  <si>
    <t>SYAHRI RIZKI</t>
  </si>
  <si>
    <t>WAHYU WIDIANA</t>
  </si>
  <si>
    <t>RYAN NOVI HANDOKO</t>
  </si>
  <si>
    <t>MUHAMAD HASAN</t>
  </si>
  <si>
    <t>KRISNA ADI NUGRAHA</t>
  </si>
  <si>
    <t>ENDRIYANTO</t>
  </si>
  <si>
    <t>NANDA AMELIA</t>
  </si>
  <si>
    <t>IKHWAN FIDDIN</t>
  </si>
  <si>
    <t>SATRIA PAMUNGKAS</t>
  </si>
  <si>
    <t>RAHMAT HIDAYAT</t>
  </si>
  <si>
    <t>HARRY HAERUDIN, S.PD</t>
  </si>
  <si>
    <t>MOCH ARMANDO VEBBY</t>
  </si>
  <si>
    <t>ANDI KURNIAWAN</t>
  </si>
  <si>
    <t>ANTONIUS</t>
  </si>
  <si>
    <t>UJANG SULAEMAN</t>
  </si>
  <si>
    <t>AHMAD SANUSI</t>
  </si>
  <si>
    <t>BONAR JUMADA</t>
  </si>
  <si>
    <t>ADHI GUSTIANA</t>
  </si>
  <si>
    <t>FAIZAL ABDUL JABBAR</t>
  </si>
  <si>
    <t>SEPTIAN HERMANSYAH</t>
  </si>
  <si>
    <t>NANDANG TATA YUSMANA</t>
  </si>
  <si>
    <t>RAMLI NASUTION</t>
  </si>
  <si>
    <t>ASEP PERMANA NOOR</t>
  </si>
  <si>
    <t>FAJAR NUGRAHA</t>
  </si>
  <si>
    <t>ZAENUDIN</t>
  </si>
  <si>
    <t>VACANT</t>
  </si>
  <si>
    <t>HARI WIHARYANA</t>
  </si>
  <si>
    <t>GUGUN HANAFI</t>
  </si>
  <si>
    <t>BAGUS GUMILAR</t>
  </si>
  <si>
    <t>MUHAMMAD RIKI SAFARI</t>
  </si>
  <si>
    <t>RIZAL ZAELANI</t>
  </si>
  <si>
    <t>AFIF MUSTAFA</t>
  </si>
  <si>
    <t>DUDI SIDIK PERMANA</t>
  </si>
  <si>
    <t>JAKA PURNAMA</t>
  </si>
  <si>
    <t>LILI MURTADO</t>
  </si>
  <si>
    <t>MULYADI</t>
  </si>
  <si>
    <t>FEBIANSYAH</t>
  </si>
  <si>
    <t>ARTANTO</t>
  </si>
  <si>
    <t>AGUS GUNAWAN</t>
  </si>
  <si>
    <t>ANDRE SETIAWAN</t>
  </si>
  <si>
    <t>ERLAN SOPIANA</t>
  </si>
  <si>
    <t>HENDIKUS WARUWU</t>
  </si>
  <si>
    <t>ASEP ANANG RUSMANA</t>
  </si>
  <si>
    <t>ASEP RACHMAT SAPAAT</t>
  </si>
  <si>
    <t>ABDUL AGUS</t>
  </si>
  <si>
    <t>HENRI HERMAWAN SAPUTRO</t>
  </si>
  <si>
    <t>AHMAD DAUD ABDULLAH</t>
  </si>
  <si>
    <t>RIAN RUDIAN</t>
  </si>
  <si>
    <t>GATI KUSMANTO</t>
  </si>
  <si>
    <t>IDA SUGIARTI</t>
  </si>
  <si>
    <t>ADITYA MUHAMMAD RAMDHAN</t>
  </si>
  <si>
    <t>ANRE IKHSAN ROSYADI</t>
  </si>
  <si>
    <t>VIRSQI INDRA PERDANA</t>
  </si>
  <si>
    <t>YUS YUSUF ANGGA SETIABUDI</t>
  </si>
  <si>
    <t>LUCKY GEMA CHRISTYAN SYAH</t>
  </si>
  <si>
    <t>ISMANTO</t>
  </si>
  <si>
    <t>MOCH APIP</t>
  </si>
  <si>
    <t>RASTHA KAWISTARA</t>
  </si>
  <si>
    <t>ALDY SULISTIO</t>
  </si>
  <si>
    <t>AR AR SATIA RAHMAT</t>
  </si>
  <si>
    <t>ERI APRILIAN RUSLIANA</t>
  </si>
  <si>
    <t>RIKZA MAULANA</t>
  </si>
  <si>
    <t>JEJEN AL KOHIRI</t>
  </si>
  <si>
    <t>ASEP MAMAT HARISUDIN</t>
  </si>
  <si>
    <t>EDI ROSADI</t>
  </si>
  <si>
    <t>ADE HENDRA</t>
  </si>
  <si>
    <t>Data HR</t>
  </si>
  <si>
    <t>Status</t>
  </si>
  <si>
    <t>7940315390</t>
  </si>
  <si>
    <t>8100893330</t>
  </si>
  <si>
    <t>8180505475</t>
  </si>
  <si>
    <t>0541384501</t>
  </si>
  <si>
    <t>4372932876</t>
  </si>
  <si>
    <t>2830825579</t>
  </si>
  <si>
    <t>1393317101</t>
  </si>
  <si>
    <t>PMK1808008</t>
  </si>
  <si>
    <t>2310272283</t>
  </si>
  <si>
    <t>kosong</t>
  </si>
  <si>
    <t/>
  </si>
  <si>
    <t>8090609018</t>
  </si>
  <si>
    <t>1092167482</t>
  </si>
  <si>
    <t>1342870354</t>
  </si>
  <si>
    <t>1341470272</t>
  </si>
  <si>
    <t>Sales tidak ada di data HR</t>
  </si>
  <si>
    <t>DADAN HARDIANSAH PUTRA</t>
  </si>
  <si>
    <t>ANTONIO RIFALDO</t>
  </si>
  <si>
    <t>RUDI RUSWANDI</t>
  </si>
  <si>
    <t>FITRAH RAMADHAN</t>
  </si>
  <si>
    <t>Resign</t>
  </si>
  <si>
    <t>Pengganti Dadan Hardiansyah Putra</t>
  </si>
  <si>
    <t>Pengganti Antonio Rifaldo</t>
  </si>
  <si>
    <t>Pengganti Rudi Ruswandi</t>
  </si>
  <si>
    <t>Sales Pengganti</t>
  </si>
  <si>
    <t>Elektrik</t>
  </si>
  <si>
    <t>SPVEL01</t>
  </si>
  <si>
    <t>Martinus Laia</t>
  </si>
  <si>
    <t>PMD1610002</t>
  </si>
  <si>
    <t>Pengganti Dadan Hardiansyah Putra Keluar tgl 2/2/2026</t>
  </si>
  <si>
    <t>PISPV01</t>
  </si>
  <si>
    <t>Wandy Wijaya</t>
  </si>
  <si>
    <t>PMD2508001</t>
  </si>
  <si>
    <t>Pengganti Rudi Ruswandi keluar tgl. 2/2/2026</t>
  </si>
  <si>
    <t>Pipa Pompa</t>
  </si>
  <si>
    <t>SPVPP01</t>
  </si>
  <si>
    <t>Pengganti Antonio Rifaldo keluar tgl. 2/5/2026</t>
  </si>
  <si>
    <t>SPV06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</si>
</sst>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dd/mm/yyyy"/>
    <numFmt numFmtId="165" formatCode="[$-409]d\-mmm\-yy;@"/>
    <numFmt numFmtId="166" formatCode="_-* #,##0_-;\-* #,##0_-;_-* &quot;-&quot;_-;_-@_-"/>
    <numFmt numFmtId="167" formatCode="0.00\ &quot;thn&quot;"/>
    <numFmt numFmtId="168" formatCode="[$-409]dd\-mmm\-yy;@"/>
    <numFmt numFmtId="169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9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166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14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9" fillId="3" borderId="0" xfId="0" applyFont="1" applyFill="1"/>
    <xf numFmtId="0" fontId="0" fillId="3" borderId="0" xfId="0" applyFill="1"/>
    <xf numFmtId="0" fontId="9" fillId="0" borderId="0" xfId="0" applyFont="1"/>
    <xf numFmtId="0" fontId="9" fillId="0" borderId="0" xfId="0" applyFont="1" applyAlignment="1">
      <alignment horizontal="center"/>
    </xf>
    <xf numFmtId="41" fontId="7" fillId="4" borderId="1" xfId="0" applyNumberFormat="1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7" fillId="0" borderId="1" xfId="0" applyNumberFormat="1" applyFont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1" fontId="7" fillId="5" borderId="2" xfId="0" applyNumberFormat="1" applyFont="1" applyFill="1" applyBorder="1" applyAlignment="1">
      <alignment horizontal="center" vertical="center"/>
    </xf>
    <xf numFmtId="41" fontId="7" fillId="5" borderId="3" xfId="0" applyNumberFormat="1" applyFont="1" applyFill="1" applyBorder="1" applyAlignment="1">
      <alignment horizontal="center" vertical="center"/>
    </xf>
    <xf numFmtId="41" fontId="7" fillId="5" borderId="4" xfId="0" applyNumberFormat="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right" vertical="center"/>
    </xf>
    <xf numFmtId="49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/>
    </xf>
    <xf numFmtId="41" fontId="2" fillId="8" borderId="0" xfId="0" applyNumberFormat="1" applyFont="1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vertical="center"/>
    </xf>
    <xf numFmtId="165" fontId="0" fillId="8" borderId="0" xfId="0" applyNumberFormat="1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3" fontId="7" fillId="9" borderId="0" xfId="0" applyNumberFormat="1" applyFont="1" applyFill="1" applyAlignment="1">
      <alignment horizontal="center"/>
    </xf>
    <xf numFmtId="166" fontId="0" fillId="0" borderId="1" xfId="3" applyFont="1" applyFill="1" applyBorder="1"/>
    <xf numFmtId="167" fontId="0" fillId="0" borderId="1" xfId="0" applyNumberFormat="1" applyBorder="1"/>
    <xf numFmtId="49" fontId="0" fillId="0" borderId="1" xfId="0" applyNumberFormat="1" applyBorder="1" applyAlignment="1">
      <alignment horizontal="center"/>
    </xf>
    <xf numFmtId="15" fontId="0" fillId="2" borderId="1" xfId="0" applyNumberFormat="1" applyFill="1" applyBorder="1" applyAlignment="1">
      <alignment horizontal="center"/>
    </xf>
    <xf numFmtId="165" fontId="0" fillId="0" borderId="1" xfId="0" applyNumberFormat="1" applyBorder="1"/>
    <xf numFmtId="0" fontId="6" fillId="0" borderId="0" xfId="0" applyFont="1"/>
    <xf numFmtId="0" fontId="0" fillId="0" borderId="1" xfId="0" quotePrefix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right"/>
    </xf>
    <xf numFmtId="166" fontId="0" fillId="0" borderId="0" xfId="3" applyFont="1" applyFill="1" applyBorder="1"/>
    <xf numFmtId="167" fontId="0" fillId="0" borderId="0" xfId="0" applyNumberFormat="1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" fillId="8" borderId="0" xfId="4" applyFont="1" applyFill="1" applyAlignment="1">
      <alignment horizontal="center"/>
    </xf>
    <xf numFmtId="0" fontId="0" fillId="0" borderId="1" xfId="0" applyBorder="1" applyAlignment="1">
      <alignment horizontal="center"/>
    </xf>
    <xf numFmtId="168" fontId="0" fillId="0" borderId="1" xfId="0" applyNumberFormat="1" applyBorder="1"/>
    <xf numFmtId="0" fontId="10" fillId="0" borderId="0" xfId="0" applyFont="1"/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15" fontId="0" fillId="0" borderId="1" xfId="0" applyNumberFormat="1" applyBorder="1"/>
    <xf numFmtId="0" fontId="0" fillId="0" borderId="0" xfId="0" applyAlignment="1">
      <alignment horizontal="left"/>
    </xf>
    <xf numFmtId="0" fontId="0" fillId="0" borderId="1" xfId="5" applyNumberFormat="1" applyFont="1" applyFill="1" applyBorder="1" applyAlignment="1" applyProtection="1">
      <alignment horizontal="left" vertical="center"/>
    </xf>
    <xf numFmtId="166" fontId="0" fillId="0" borderId="1" xfId="0" applyNumberFormat="1" applyBorder="1"/>
    <xf numFmtId="0" fontId="1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/>
    <xf numFmtId="0" fontId="10" fillId="0" borderId="5" xfId="0" applyFont="1" applyBorder="1"/>
    <xf numFmtId="49" fontId="5" fillId="0" borderId="1" xfId="0" applyNumberFormat="1" applyFont="1" applyBorder="1" applyAlignment="1">
      <alignment horizontal="center"/>
    </xf>
    <xf numFmtId="0" fontId="0" fillId="0" borderId="6" xfId="0" applyBorder="1"/>
    <xf numFmtId="166" fontId="0" fillId="0" borderId="6" xfId="3" applyFont="1" applyFill="1" applyBorder="1"/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left" vertical="center"/>
    </xf>
    <xf numFmtId="168" fontId="0" fillId="0" borderId="6" xfId="0" applyNumberFormat="1" applyBorder="1"/>
    <xf numFmtId="165" fontId="0" fillId="0" borderId="6" xfId="0" applyNumberFormat="1" applyBorder="1"/>
    <xf numFmtId="169" fontId="0" fillId="0" borderId="1" xfId="5" applyFont="1" applyFill="1" applyBorder="1" applyAlignment="1" applyProtection="1">
      <alignment horizontal="left" vertical="center"/>
    </xf>
    <xf numFmtId="0" fontId="0" fillId="0" borderId="6" xfId="5" applyNumberFormat="1" applyFont="1" applyFill="1" applyBorder="1" applyAlignment="1" applyProtection="1">
      <alignment horizontal="left" vertical="center"/>
    </xf>
    <xf numFmtId="0" fontId="0" fillId="0" borderId="6" xfId="0" applyBorder="1" applyAlignment="1">
      <alignment horizontal="center"/>
    </xf>
    <xf numFmtId="0" fontId="0" fillId="0" borderId="4" xfId="0" applyBorder="1"/>
    <xf numFmtId="166" fontId="0" fillId="0" borderId="1" xfId="3" applyFont="1" applyBorder="1"/>
    <xf numFmtId="15" fontId="0" fillId="0" borderId="1" xfId="0" applyNumberFormat="1" applyBorder="1" applyAlignment="1">
      <alignment horizontal="right" vertical="center"/>
    </xf>
    <xf numFmtId="166" fontId="0" fillId="0" borderId="0" xfId="3" applyFont="1" applyBorder="1"/>
    <xf numFmtId="15" fontId="10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/>
    <xf numFmtId="0" fontId="10" fillId="0" borderId="1" xfId="0" applyFont="1" applyBorder="1"/>
    <xf numFmtId="0" fontId="6" fillId="0" borderId="1" xfId="0" applyFont="1" applyBorder="1" applyAlignment="1">
      <alignment horizontal="center"/>
    </xf>
    <xf numFmtId="0" fontId="0" fillId="2" borderId="0" xfId="0" applyFill="1"/>
    <xf numFmtId="0" fontId="0" fillId="2" borderId="1" xfId="0" quotePrefix="1" applyFill="1" applyBorder="1" applyAlignment="1">
      <alignment horizontal="left"/>
    </xf>
    <xf numFmtId="0" fontId="0" fillId="2" borderId="1" xfId="0" applyFill="1" applyBorder="1"/>
    <xf numFmtId="0" fontId="2" fillId="10" borderId="0" xfId="1" applyFont="1" applyFill="1"/>
    <xf numFmtId="0" fontId="2" fillId="10" borderId="0" xfId="1" applyFont="1" applyFill="1" applyAlignment="1">
      <alignment horizontal="left"/>
    </xf>
    <xf numFmtId="14" fontId="2" fillId="10" borderId="0" xfId="1" applyNumberFormat="1" applyFont="1" applyFill="1"/>
    <xf numFmtId="0" fontId="2" fillId="10" borderId="8" xfId="1" applyNumberFormat="1" applyFont="1" applyFill="1" applyBorder="1" applyAlignment="1"/>
    <xf numFmtId="0" fontId="2" fillId="10" borderId="0" xfId="1" applyNumberFormat="1" applyFont="1" applyFill="1" applyBorder="1" applyAlignment="1"/>
    <xf numFmtId="0" fontId="1" fillId="2" borderId="1" xfId="1" applyFill="1" applyBorder="1"/>
    <xf numFmtId="0" fontId="0" fillId="2" borderId="1" xfId="0" applyFill="1" applyBorder="1" applyAlignment="1">
      <alignment vertical="center"/>
    </xf>
    <xf numFmtId="14" fontId="0" fillId="2" borderId="1" xfId="0" applyNumberFormat="1" applyFill="1" applyBorder="1"/>
    <xf numFmtId="0" fontId="0" fillId="2" borderId="1" xfId="0" applyFont="1" applyFill="1" applyBorder="1"/>
    <xf numFmtId="0" fontId="0" fillId="2" borderId="1" xfId="0" applyNumberFormat="1" applyFont="1" applyFill="1" applyBorder="1"/>
    <xf numFmtId="0" fontId="1" fillId="2" borderId="1" xfId="1" applyFill="1" applyBorder="1" applyAlignment="1">
      <alignment vertical="center"/>
    </xf>
    <xf numFmtId="0" fontId="3" fillId="2" borderId="1" xfId="0" applyFont="1" applyFill="1" applyBorder="1"/>
    <xf numFmtId="164" fontId="0" fillId="2" borderId="1" xfId="0" applyNumberFormat="1" applyFill="1" applyBorder="1"/>
    <xf numFmtId="0" fontId="0" fillId="2" borderId="1" xfId="1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2" applyFont="1" applyFill="1" applyBorder="1" applyAlignment="1">
      <alignment horizontal="left" vertical="center"/>
    </xf>
    <xf numFmtId="0" fontId="1" fillId="2" borderId="1" xfId="2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0" fillId="11" borderId="1" xfId="5" applyNumberFormat="1" applyFont="1" applyFill="1" applyBorder="1" applyAlignment="1" applyProtection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1" fillId="11" borderId="1" xfId="0" applyFont="1" applyFill="1" applyBorder="1"/>
    <xf numFmtId="0" fontId="7" fillId="11" borderId="1" xfId="0" applyFont="1" applyFill="1" applyBorder="1" applyAlignment="1">
      <alignment horizontal="center"/>
    </xf>
    <xf numFmtId="0" fontId="0" fillId="2" borderId="9" xfId="0" applyNumberFormat="1" applyFont="1" applyFill="1" applyBorder="1"/>
    <xf numFmtId="0" fontId="0" fillId="2" borderId="1" xfId="5" applyNumberFormat="1" applyFont="1" applyFill="1" applyBorder="1" applyAlignment="1" applyProtection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" xfId="1" applyFont="1" applyFill="1" applyBorder="1" applyAlignment="1">
      <alignment vertical="center"/>
    </xf>
    <xf numFmtId="14" fontId="8" fillId="2" borderId="1" xfId="1" applyNumberFormat="1" applyFont="1" applyFill="1" applyBorder="1"/>
    <xf numFmtId="164" fontId="8" fillId="2" borderId="1" xfId="1" applyNumberFormat="1" applyFont="1" applyFill="1" applyBorder="1"/>
    <xf numFmtId="0" fontId="8" fillId="2" borderId="1" xfId="1" applyFont="1" applyFill="1" applyBorder="1"/>
    <xf numFmtId="0" fontId="5" fillId="2" borderId="1" xfId="0" applyFont="1" applyFill="1" applyBorder="1"/>
    <xf numFmtId="49" fontId="0" fillId="2" borderId="1" xfId="0" applyNumberFormat="1" applyFill="1" applyBorder="1" applyAlignment="1">
      <alignment horizontal="center"/>
    </xf>
    <xf numFmtId="0" fontId="0" fillId="2" borderId="6" xfId="0" applyFill="1" applyBorder="1"/>
    <xf numFmtId="0" fontId="7" fillId="11" borderId="1" xfId="0" applyFont="1" applyFill="1" applyBorder="1" applyAlignment="1">
      <alignment horizontal="center"/>
    </xf>
    <xf numFmtId="49" fontId="2" fillId="8" borderId="7" xfId="0" applyNumberFormat="1" applyFont="1" applyFill="1" applyBorder="1" applyAlignment="1">
      <alignment horizontal="center" vertical="center"/>
    </xf>
  </cellXfs>
  <cellStyles count="6">
    <cellStyle name="Comma [0] 2" xfId="3" xr:uid="{C2E46652-736D-4ED6-A319-6FBDECA35F5B}"/>
    <cellStyle name="Comma 2" xfId="5" xr:uid="{2A2E9D5F-991A-46AD-870F-A326B745D708}"/>
    <cellStyle name="Normal" xfId="0" builtinId="0"/>
    <cellStyle name="Normal 2" xfId="1" xr:uid="{B2316FA1-6610-4AF0-9FE1-6DB6616F275D}"/>
    <cellStyle name="Normal 2 11" xfId="4" xr:uid="{0040DACB-298C-446F-BC01-1BE141EBCA74}"/>
    <cellStyle name="Normal 3" xfId="2" xr:uid="{2458324F-62A3-48DD-907D-C985120985A0}"/>
  </cellStyles>
  <dxfs count="103">
    <dxf>
      <font>
        <b val="0"/>
        <family val="2"/>
      </font>
      <numFmt numFmtId="0" formatCode="General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numFmt numFmtId="0" formatCode="General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numFmt numFmtId="164" formatCode="dd/mm/yyyy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numFmt numFmtId="19" formatCode="m/d/yyyy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b val="0"/>
        <family val="2"/>
      </font>
      <fill>
        <patternFill patternType="none">
          <fgColor indexed="64"/>
          <bgColor theme="0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9"/>
          <bgColor theme="4"/>
        </patternFill>
      </fill>
      <alignment horizontal="general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family val="2"/>
      </font>
      <numFmt numFmtId="0" formatCode="General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numFmt numFmtId="0" formatCode="General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numFmt numFmtId="0" formatCode="General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numFmt numFmtId="0" formatCode="General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numFmt numFmtId="164" formatCode="dd/mm/yyyy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numFmt numFmtId="19" formatCode="m/d/yyyy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b val="0"/>
        <family val="2"/>
      </font>
      <fill>
        <patternFill patternType="none">
          <fgColor indexed="64"/>
          <bgColor theme="0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9"/>
          <bgColor theme="4"/>
        </patternFill>
      </fill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MK\ON%20WORKING\2024\08.%20AGUSTUS\20an\cek%20hrd%20Agustus%202024%20-%20Angeli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2007HRD001\Backup%20100%20HRGA\RARA\BACKUP\New%20folder\DATA%20KARYAWAN%20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24"/>
      <sheetName val="done"/>
      <sheetName val="Resign (masih ada hold)"/>
    </sheetNames>
    <sheetDataSet>
      <sheetData sheetId="0">
        <row r="3">
          <cell r="B3" t="str">
            <v>PMD1907004</v>
          </cell>
        </row>
        <row r="4">
          <cell r="B4" t="str">
            <v>PMD2303010</v>
          </cell>
        </row>
        <row r="5">
          <cell r="B5" t="str">
            <v>PMD2302003</v>
          </cell>
        </row>
        <row r="6">
          <cell r="B6" t="str">
            <v>PMD2205003</v>
          </cell>
        </row>
        <row r="7">
          <cell r="B7" t="str">
            <v>PMD2206001</v>
          </cell>
        </row>
        <row r="9">
          <cell r="B9" t="str">
            <v>PMD2201011</v>
          </cell>
        </row>
        <row r="10">
          <cell r="B10" t="str">
            <v>PMD2205006</v>
          </cell>
        </row>
        <row r="11">
          <cell r="B11" t="str">
            <v>Kosong</v>
          </cell>
        </row>
        <row r="12">
          <cell r="B12" t="str">
            <v>Kosong</v>
          </cell>
        </row>
        <row r="14">
          <cell r="B14" t="str">
            <v>PMD2201006</v>
          </cell>
        </row>
        <row r="15">
          <cell r="B15" t="str">
            <v>PMD2206002</v>
          </cell>
        </row>
        <row r="16">
          <cell r="B16" t="str">
            <v>PMD2308002</v>
          </cell>
        </row>
        <row r="17">
          <cell r="B17" t="str">
            <v>PMD2201008</v>
          </cell>
        </row>
        <row r="18">
          <cell r="B18" t="str">
            <v>PMD2111013</v>
          </cell>
        </row>
        <row r="20">
          <cell r="B20" t="str">
            <v>PMD1911003</v>
          </cell>
        </row>
        <row r="21">
          <cell r="B21" t="str">
            <v>PMD2011006</v>
          </cell>
        </row>
        <row r="22">
          <cell r="B22" t="str">
            <v>PMD2008005</v>
          </cell>
        </row>
        <row r="23">
          <cell r="B23" t="str">
            <v>PMD2203019</v>
          </cell>
        </row>
        <row r="24">
          <cell r="B24" t="str">
            <v>PMD2207003</v>
          </cell>
        </row>
        <row r="25">
          <cell r="B25" t="str">
            <v>PMD2210008</v>
          </cell>
        </row>
        <row r="26">
          <cell r="B26" t="str">
            <v>PMD2305003</v>
          </cell>
        </row>
        <row r="27">
          <cell r="B27" t="str">
            <v>PMD2109007</v>
          </cell>
        </row>
        <row r="28">
          <cell r="B28" t="str">
            <v>PMD2305008</v>
          </cell>
        </row>
        <row r="30">
          <cell r="B30" t="str">
            <v>PMD2402001</v>
          </cell>
        </row>
        <row r="31">
          <cell r="B31" t="str">
            <v>PMD2309001</v>
          </cell>
        </row>
        <row r="32">
          <cell r="B32" t="str">
            <v>PMD1911004</v>
          </cell>
        </row>
        <row r="33">
          <cell r="B33" t="str">
            <v>PMD2401006</v>
          </cell>
        </row>
        <row r="34">
          <cell r="B34" t="str">
            <v>PMD2207001</v>
          </cell>
        </row>
        <row r="35">
          <cell r="B35" t="str">
            <v>PMD2111007</v>
          </cell>
        </row>
        <row r="36">
          <cell r="B36" t="str">
            <v>PMD2309005</v>
          </cell>
        </row>
        <row r="37">
          <cell r="B37" t="str">
            <v>PMD2201009</v>
          </cell>
        </row>
        <row r="38">
          <cell r="B38">
            <v>0</v>
          </cell>
        </row>
        <row r="39">
          <cell r="B39" t="str">
            <v>PMC2301001</v>
          </cell>
        </row>
        <row r="40">
          <cell r="B40" t="str">
            <v>PMC2112006</v>
          </cell>
        </row>
        <row r="41">
          <cell r="B41" t="str">
            <v>PMC2203003</v>
          </cell>
        </row>
        <row r="42">
          <cell r="B42" t="str">
            <v>PMC2306001</v>
          </cell>
        </row>
        <row r="43">
          <cell r="B43" t="str">
            <v>PMC2204004</v>
          </cell>
        </row>
        <row r="45">
          <cell r="B45" t="str">
            <v>PMC2305004</v>
          </cell>
        </row>
        <row r="46">
          <cell r="B46" t="str">
            <v>PMC2405002</v>
          </cell>
        </row>
        <row r="47">
          <cell r="B47" t="str">
            <v>PMC2305003</v>
          </cell>
        </row>
        <row r="48">
          <cell r="B48" t="str">
            <v>Kosong</v>
          </cell>
        </row>
        <row r="50">
          <cell r="B50" t="str">
            <v>PMC2112013</v>
          </cell>
        </row>
        <row r="51">
          <cell r="B51" t="str">
            <v>PMC2209001</v>
          </cell>
        </row>
        <row r="52">
          <cell r="B52" t="str">
            <v>PMC2405001</v>
          </cell>
        </row>
        <row r="53">
          <cell r="B53" t="str">
            <v>PMC2310001</v>
          </cell>
        </row>
        <row r="54">
          <cell r="B54" t="str">
            <v>PMC2209002</v>
          </cell>
        </row>
        <row r="55">
          <cell r="B55" t="str">
            <v>PMC2012004</v>
          </cell>
        </row>
        <row r="56">
          <cell r="B56" t="str">
            <v>Kosong</v>
          </cell>
        </row>
        <row r="57">
          <cell r="B57">
            <v>0</v>
          </cell>
        </row>
        <row r="58">
          <cell r="B58" t="str">
            <v>PMT1909005</v>
          </cell>
        </row>
        <row r="59">
          <cell r="B59" t="str">
            <v>PMT2206001</v>
          </cell>
        </row>
        <row r="60">
          <cell r="B60" t="str">
            <v>PMT2205001</v>
          </cell>
        </row>
        <row r="61">
          <cell r="B61" t="str">
            <v>PMT2105002</v>
          </cell>
        </row>
        <row r="63">
          <cell r="B63" t="str">
            <v>PMT1910006</v>
          </cell>
        </row>
        <row r="64">
          <cell r="B64" t="str">
            <v>PMT2112005</v>
          </cell>
        </row>
        <row r="65">
          <cell r="B65" t="str">
            <v>PMT2208001</v>
          </cell>
        </row>
        <row r="67">
          <cell r="B67" t="str">
            <v>PMT2209002</v>
          </cell>
        </row>
        <row r="68">
          <cell r="B68" t="str">
            <v>PMT2209001</v>
          </cell>
        </row>
        <row r="69">
          <cell r="B69" t="str">
            <v>PMT2010001</v>
          </cell>
        </row>
        <row r="70">
          <cell r="B70" t="str">
            <v>PMT2207002</v>
          </cell>
        </row>
        <row r="71">
          <cell r="B71" t="str">
            <v>PMT2212001</v>
          </cell>
        </row>
        <row r="73">
          <cell r="B73" t="str">
            <v>PMT2211001</v>
          </cell>
        </row>
        <row r="74">
          <cell r="B74" t="str">
            <v>PMT2305001</v>
          </cell>
        </row>
        <row r="75">
          <cell r="B75" t="str">
            <v>PMT2012001</v>
          </cell>
        </row>
        <row r="76">
          <cell r="B76" t="str">
            <v>PMT2305002</v>
          </cell>
        </row>
        <row r="77">
          <cell r="B77" t="str">
            <v>PMT2305003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 t="str">
            <v>PMB2405003</v>
          </cell>
        </row>
        <row r="84">
          <cell r="B84" t="str">
            <v>PMB2212001</v>
          </cell>
        </row>
        <row r="85">
          <cell r="B85" t="str">
            <v>PMB2112002</v>
          </cell>
        </row>
        <row r="86">
          <cell r="B86" t="str">
            <v>PMB2009005</v>
          </cell>
        </row>
        <row r="87">
          <cell r="B87" t="str">
            <v>PMB2211002</v>
          </cell>
        </row>
        <row r="89">
          <cell r="B89" t="str">
            <v>PMB2105004</v>
          </cell>
        </row>
        <row r="90">
          <cell r="B90" t="str">
            <v>Kosong</v>
          </cell>
        </row>
        <row r="91">
          <cell r="B91" t="str">
            <v>PMB1807007</v>
          </cell>
        </row>
        <row r="92">
          <cell r="B92" t="str">
            <v>PMB1909012</v>
          </cell>
        </row>
        <row r="93">
          <cell r="B93" t="str">
            <v>PMB2309001</v>
          </cell>
        </row>
        <row r="94">
          <cell r="B94" t="str">
            <v>Kosong</v>
          </cell>
        </row>
        <row r="95">
          <cell r="B95" t="str">
            <v>Kosong</v>
          </cell>
        </row>
        <row r="96">
          <cell r="B96" t="str">
            <v>Kosong</v>
          </cell>
        </row>
        <row r="98">
          <cell r="B98" t="str">
            <v>PMB2212003</v>
          </cell>
        </row>
        <row r="99">
          <cell r="B99" t="str">
            <v>Kosong</v>
          </cell>
        </row>
        <row r="100">
          <cell r="B100" t="str">
            <v>PMB2307002</v>
          </cell>
        </row>
        <row r="101">
          <cell r="B101" t="str">
            <v>PMB2307005</v>
          </cell>
        </row>
        <row r="102">
          <cell r="B102" t="str">
            <v>PMB2212002</v>
          </cell>
        </row>
        <row r="103">
          <cell r="B103" t="str">
            <v>PMB2307007</v>
          </cell>
        </row>
        <row r="104">
          <cell r="B104" t="str">
            <v>Kosong</v>
          </cell>
        </row>
        <row r="105">
          <cell r="B105" t="str">
            <v>Kosong</v>
          </cell>
        </row>
        <row r="107">
          <cell r="B107">
            <v>0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0</v>
          </cell>
        </row>
        <row r="111">
          <cell r="B111" t="str">
            <v>PMB2307004</v>
          </cell>
        </row>
        <row r="112">
          <cell r="B112" t="str">
            <v>PMB2307003</v>
          </cell>
        </row>
        <row r="113">
          <cell r="B113" t="str">
            <v>PMB2207003</v>
          </cell>
        </row>
        <row r="114">
          <cell r="B114" t="str">
            <v>Kosong</v>
          </cell>
        </row>
        <row r="115">
          <cell r="B115">
            <v>0</v>
          </cell>
        </row>
        <row r="119">
          <cell r="B119" t="str">
            <v>PMK2112008</v>
          </cell>
        </row>
        <row r="120">
          <cell r="B120" t="str">
            <v>Kosong</v>
          </cell>
        </row>
        <row r="121">
          <cell r="B121" t="str">
            <v>PMK2306002</v>
          </cell>
        </row>
        <row r="123">
          <cell r="B123" t="str">
            <v>PMK2011003</v>
          </cell>
        </row>
        <row r="124">
          <cell r="B124" t="str">
            <v>Kosong</v>
          </cell>
        </row>
        <row r="125">
          <cell r="B125" t="str">
            <v>PMK1809003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ctionary"/>
      <sheetName val="PT Pancamas Pipasakti"/>
      <sheetName val="Sheet1"/>
      <sheetName val="PT Pipamas Primasejati"/>
      <sheetName val="OUT"/>
      <sheetName val="magang"/>
    </sheetNames>
    <sheetDataSet>
      <sheetData sheetId="0" refreshError="1"/>
      <sheetData sheetId="1" refreshError="1"/>
      <sheetData sheetId="2" refreshError="1"/>
      <sheetData sheetId="3" refreshError="1">
        <row r="3">
          <cell r="G3" t="str">
            <v>Nama</v>
          </cell>
        </row>
        <row r="4">
          <cell r="G4" t="str">
            <v>DARWAN</v>
          </cell>
        </row>
        <row r="5">
          <cell r="G5" t="str">
            <v>TEDI SUNTARA</v>
          </cell>
        </row>
        <row r="6">
          <cell r="G6" t="str">
            <v>MIFTAHUDIN</v>
          </cell>
        </row>
        <row r="7">
          <cell r="G7" t="str">
            <v>TURMUDI</v>
          </cell>
        </row>
        <row r="8">
          <cell r="G8" t="str">
            <v>DADAN DARUSMAN</v>
          </cell>
        </row>
        <row r="9">
          <cell r="G9" t="str">
            <v>YUSUF IJAJI</v>
          </cell>
        </row>
        <row r="10">
          <cell r="G10" t="str">
            <v>RULI NURMAN HAKIM</v>
          </cell>
        </row>
        <row r="11">
          <cell r="G11" t="str">
            <v>DEDEN PERMANA</v>
          </cell>
        </row>
        <row r="12">
          <cell r="G12" t="str">
            <v>HARDIKA WAHYU PRAJA</v>
          </cell>
        </row>
        <row r="13">
          <cell r="G13" t="str">
            <v>SLAMET HARYANTO</v>
          </cell>
        </row>
        <row r="14">
          <cell r="G14" t="str">
            <v>NGALIMAN</v>
          </cell>
        </row>
        <row r="15">
          <cell r="G15" t="str">
            <v>ANO ARIFIN</v>
          </cell>
        </row>
        <row r="16">
          <cell r="G16" t="str">
            <v>AGUS RAHAYU</v>
          </cell>
        </row>
        <row r="17">
          <cell r="G17" t="str">
            <v>AGUS SETIAWAN</v>
          </cell>
        </row>
        <row r="18">
          <cell r="G18" t="str">
            <v>HERI SOPIAN</v>
          </cell>
        </row>
        <row r="19">
          <cell r="G19" t="str">
            <v>JAJANG</v>
          </cell>
        </row>
        <row r="20">
          <cell r="G20" t="str">
            <v>NUNANG SUPRIATNA</v>
          </cell>
        </row>
        <row r="21">
          <cell r="G21" t="str">
            <v>NUR WAFIT</v>
          </cell>
        </row>
        <row r="22">
          <cell r="G22" t="str">
            <v>HARIS LESMANA</v>
          </cell>
        </row>
        <row r="23">
          <cell r="G23" t="str">
            <v>DANIE FIRMANSYAH</v>
          </cell>
        </row>
        <row r="24">
          <cell r="G24" t="str">
            <v>MANANSAH</v>
          </cell>
        </row>
        <row r="25">
          <cell r="G25" t="str">
            <v>SUMARNA</v>
          </cell>
        </row>
        <row r="26">
          <cell r="G26" t="str">
            <v>ILYAS YASIN</v>
          </cell>
        </row>
        <row r="27">
          <cell r="G27" t="str">
            <v>EMAN</v>
          </cell>
        </row>
        <row r="28">
          <cell r="G28" t="str">
            <v>BAIDILAH AFANDI</v>
          </cell>
        </row>
        <row r="29">
          <cell r="G29" t="str">
            <v>INDRA SETIAWAN</v>
          </cell>
        </row>
        <row r="30">
          <cell r="G30" t="str">
            <v>JUJUN JUNAEDI</v>
          </cell>
        </row>
        <row r="31">
          <cell r="G31" t="str">
            <v>JAENAL ARIPIN</v>
          </cell>
        </row>
        <row r="32">
          <cell r="G32" t="str">
            <v>DODI SUTRISNO</v>
          </cell>
        </row>
        <row r="33">
          <cell r="G33" t="str">
            <v>HARTONO</v>
          </cell>
        </row>
        <row r="34">
          <cell r="G34" t="str">
            <v>TONI SUPRIATNA</v>
          </cell>
        </row>
        <row r="35">
          <cell r="G35" t="str">
            <v>HENDRA PERMANA</v>
          </cell>
        </row>
        <row r="36">
          <cell r="G36" t="str">
            <v>HIDAYAT</v>
          </cell>
        </row>
        <row r="37">
          <cell r="G37" t="str">
            <v>DEDE KURNIA</v>
          </cell>
        </row>
        <row r="38">
          <cell r="G38" t="str">
            <v>DEDE RUSYANA</v>
          </cell>
        </row>
        <row r="39">
          <cell r="G39" t="str">
            <v>TARYAT NUGRAHA</v>
          </cell>
        </row>
        <row r="40">
          <cell r="G40" t="str">
            <v>SUROSO</v>
          </cell>
        </row>
        <row r="41">
          <cell r="G41" t="str">
            <v>CECEN SAEPUDIN</v>
          </cell>
        </row>
        <row r="42">
          <cell r="G42" t="str">
            <v>DADANG IWAN GUNAWAN</v>
          </cell>
        </row>
        <row r="43">
          <cell r="G43" t="str">
            <v>RIAN NOVIANSYAH</v>
          </cell>
        </row>
        <row r="44">
          <cell r="G44" t="str">
            <v>Iim Abdul Rohim</v>
          </cell>
        </row>
        <row r="45">
          <cell r="G45" t="str">
            <v>SANGADI</v>
          </cell>
        </row>
        <row r="46">
          <cell r="G46" t="str">
            <v>DANI HERMAWAN</v>
          </cell>
        </row>
        <row r="47">
          <cell r="G47" t="str">
            <v>MUHAEMIN</v>
          </cell>
        </row>
        <row r="48">
          <cell r="G48" t="str">
            <v>EKO SUSANTO</v>
          </cell>
        </row>
        <row r="49">
          <cell r="G49" t="str">
            <v>JAJANG NOVIANDI</v>
          </cell>
        </row>
        <row r="50">
          <cell r="G50" t="str">
            <v>EEP SAEPULOH</v>
          </cell>
        </row>
        <row r="51">
          <cell r="G51" t="str">
            <v>SUNARJO</v>
          </cell>
        </row>
        <row r="52">
          <cell r="G52" t="str">
            <v>YUNUS</v>
          </cell>
        </row>
        <row r="53">
          <cell r="G53" t="str">
            <v>DEDE SOPANDI</v>
          </cell>
        </row>
        <row r="54">
          <cell r="G54" t="str">
            <v>ODANG</v>
          </cell>
        </row>
        <row r="55">
          <cell r="G55" t="str">
            <v>DILA NOVIANTI</v>
          </cell>
        </row>
        <row r="56">
          <cell r="G56" t="str">
            <v>MELINDAWATI</v>
          </cell>
        </row>
        <row r="57">
          <cell r="G57" t="str">
            <v>FARIDA ARINI</v>
          </cell>
        </row>
        <row r="58">
          <cell r="G58" t="str">
            <v>EUIS HANIFAH</v>
          </cell>
        </row>
        <row r="59">
          <cell r="G59" t="str">
            <v>NANA</v>
          </cell>
        </row>
        <row r="60">
          <cell r="G60" t="str">
            <v>FANNY AISIYAH ZULIANI</v>
          </cell>
        </row>
        <row r="61">
          <cell r="G61" t="str">
            <v>MUHAMAD SAIFUL ROCHIM, ST</v>
          </cell>
        </row>
        <row r="62">
          <cell r="G62" t="str">
            <v>ALDI WARDANA</v>
          </cell>
        </row>
        <row r="63">
          <cell r="G63" t="str">
            <v>AHLAN TAUFIK</v>
          </cell>
        </row>
        <row r="64">
          <cell r="G64" t="str">
            <v>SUHARSONO</v>
          </cell>
        </row>
        <row r="65">
          <cell r="G65" t="str">
            <v>KURNIAWAN SETIYANTO</v>
          </cell>
        </row>
        <row r="66">
          <cell r="G66" t="str">
            <v>CIKAL VIRGIAWAN PRATAMA</v>
          </cell>
        </row>
        <row r="67">
          <cell r="G67" t="str">
            <v>AYU ANDARI KUSUMADEWI</v>
          </cell>
        </row>
        <row r="68">
          <cell r="G68" t="str">
            <v>WENI PUASANINGSIH</v>
          </cell>
        </row>
        <row r="69">
          <cell r="G69" t="str">
            <v>NURUL HIDAYAT</v>
          </cell>
        </row>
        <row r="70">
          <cell r="G70" t="str">
            <v>HARI PAHLAWAN YASIS</v>
          </cell>
        </row>
        <row r="71">
          <cell r="G71" t="str">
            <v>MUHAMMAD IQBAL NUGRAHA</v>
          </cell>
        </row>
        <row r="72">
          <cell r="G72" t="str">
            <v>DODDY KUSMAYADI</v>
          </cell>
        </row>
        <row r="73">
          <cell r="G73" t="str">
            <v>RIKO NUGRAHA</v>
          </cell>
        </row>
        <row r="74">
          <cell r="G74" t="str">
            <v>HIKMAT FAJARI</v>
          </cell>
        </row>
        <row r="75">
          <cell r="G75" t="str">
            <v>YANDRI SHAPUTRA</v>
          </cell>
        </row>
        <row r="76">
          <cell r="G76" t="str">
            <v>SITI HANIPAH</v>
          </cell>
        </row>
        <row r="77">
          <cell r="G77" t="str">
            <v>PIYORI AWI</v>
          </cell>
        </row>
        <row r="78">
          <cell r="G78" t="str">
            <v>TAMARA ARRUMDANI REZKY</v>
          </cell>
        </row>
        <row r="79">
          <cell r="G79" t="str">
            <v>JONI ALEXANDER</v>
          </cell>
        </row>
        <row r="80">
          <cell r="G80" t="str">
            <v>SELLY ERISKA MARISA</v>
          </cell>
        </row>
        <row r="81">
          <cell r="G81" t="str">
            <v>MUHAMMAD VIONDHARDTO REINHART</v>
          </cell>
        </row>
        <row r="82">
          <cell r="G82" t="str">
            <v>YUSEP SETIANA</v>
          </cell>
        </row>
        <row r="84">
          <cell r="G84" t="str">
            <v>pabrik</v>
          </cell>
        </row>
        <row r="85">
          <cell r="G85" t="str">
            <v>pabrik</v>
          </cell>
        </row>
        <row r="86">
          <cell r="G86" t="str">
            <v>tangerang</v>
          </cell>
        </row>
        <row r="87">
          <cell r="G87" t="str">
            <v xml:space="preserve">report /pajak </v>
          </cell>
        </row>
        <row r="88">
          <cell r="G88" t="str">
            <v>finance (farida/ euis)</v>
          </cell>
        </row>
        <row r="89">
          <cell r="G89" t="str">
            <v>maketing</v>
          </cell>
        </row>
      </sheetData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3731EE-1881-4AF2-92D1-DEF6FBB26CF4}" name="Table7910111213" displayName="Table7910111213" ref="A1:K105" totalsRowShown="0" headerRowDxfId="67" dataDxfId="65" headerRowBorderDxfId="66" tableBorderDxfId="64" headerRowCellStyle="Normal 2">
  <autoFilter ref="A1:K105" xr:uid="{80C93B6E-E9FD-483D-A0DC-63A02492846F}"/>
  <tableColumns count="11">
    <tableColumn id="1" xr3:uid="{95F92736-97F8-4A40-819F-9F116E7D1F6F}" name="Branch" dataDxfId="63" dataCellStyle="Normal 2">
      <calculatedColumnFormula>IF(LEFT(RIGHT(C2,2),1)="0","Bandung",IF(LEFT(RIGHT(C2,2),1)="2","PCK",IF(LEFT(RIGHT(C2,2),1)="6","Cirebon",IF(LEFT(RIGHT(C2,2),1)="7","Tasik",IF(LEFT(RIGHT(C2,2),1)="8","Bogor","")))))</calculatedColumnFormula>
    </tableColumn>
    <tableColumn id="2" xr3:uid="{DBB4BAD2-1191-4A37-8D7E-4C893764FE50}" name="Divisi" dataDxfId="62" dataCellStyle="Normal 2">
      <calculatedColumnFormula>IF(LEFT(C2,2)="EL","Elektrik",IF(LEFT(C2,2)="PP","Pipa Pompa",IF(LEFT(C2,2)="IC","ICI",IF(LEFT(C2,2)="PI","Pipamas",""))))</calculatedColumnFormula>
    </tableColumn>
    <tableColumn id="3" xr3:uid="{FF681106-BF4E-4A74-B781-5E05B3FCEC05}" name="Kode Sales" dataDxfId="61"/>
    <tableColumn id="4" xr3:uid="{5B826D67-8DBE-4779-8532-65104EC0FFF3}" name="Februari" dataDxfId="60"/>
    <tableColumn id="5" xr3:uid="{D2BB76B0-0D11-4C05-9629-721607B58FA9}" name="Masuk" dataDxfId="59"/>
    <tableColumn id="6" xr3:uid="{D5274A77-852E-4216-AE00-C2667FED4CFA}" name="Keluar" dataDxfId="58"/>
    <tableColumn id="14" xr3:uid="{E2674BDE-207D-4359-B79A-8A25B55EE0D3}" name="NIK" dataDxfId="57">
      <calculatedColumnFormula>VLOOKUP(Table7910111213[[#This Row],[Februari]],'Clean Data HR'!$G$2:$H$102,2,0)</calculatedColumnFormula>
    </tableColumn>
    <tableColumn id="8" xr3:uid="{4E6686D9-CEE3-4EB7-B981-EF14906C03D3}" name="No Rek" dataDxfId="56"/>
    <tableColumn id="10" xr3:uid="{B5C8DE26-564C-42D5-8A71-42C0CEB1D550}" name="Data HR" dataDxfId="55"/>
    <tableColumn id="11" xr3:uid="{C8C7F403-360A-49F5-9D8E-033AA1372E5B}" name="Status" dataDxfId="54">
      <calculatedColumnFormula>Table7910111213[[#This Row],[Februari]]=Table7910111213[[#This Row],[Data HR]]</calculatedColumnFormula>
    </tableColumn>
    <tableColumn id="13" xr3:uid="{38945B2D-2067-4B71-AC4B-BA514C164C0F}" name="Sales Pengganti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F5FAF9-C525-4C2D-B28D-6516E795AE3E}" name="Table79101112133" displayName="Table79101112133" ref="A1:I109" totalsRowShown="0" headerRowDxfId="12" dataDxfId="10" headerRowBorderDxfId="11" tableBorderDxfId="9" headerRowCellStyle="Normal 2">
  <autoFilter ref="A1:I109" xr:uid="{6486D9F8-1C7D-4725-95FF-66C5086E4DA0}"/>
  <tableColumns count="9">
    <tableColumn id="1" xr3:uid="{553FC819-54E4-4998-B37D-4347A02263C0}" name="Branch" dataDxfId="8" dataCellStyle="Normal 2">
      <calculatedColumnFormula>IF(LEFT(RIGHT(C2,2),1)="0","Bandung",IF(LEFT(RIGHT(C2,2),1)="2","PCK",IF(LEFT(RIGHT(C2,2),1)="6","Cirebon",IF(LEFT(RIGHT(C2,2),1)="7","Tasik",IF(LEFT(RIGHT(C2,2),1)="8","Bogor","")))))</calculatedColumnFormula>
    </tableColumn>
    <tableColumn id="2" xr3:uid="{53EFB153-168E-4996-8092-9DF7E4283EFD}" name="Divisi" dataDxfId="7" dataCellStyle="Normal 2">
      <calculatedColumnFormula>IF(LEFT(C2,2)="EL","Elektrik",IF(LEFT(C2,2)="PP","Pipa Pompa",IF(LEFT(C2,2)="IC","ICI",IF(LEFT(C2,2)="PI","Pipamas",""))))</calculatedColumnFormula>
    </tableColumn>
    <tableColumn id="3" xr3:uid="{17A709E3-AABF-4BE2-9D21-61AB3A2FB056}" name="Kode Sales" dataDxfId="6"/>
    <tableColumn id="4" xr3:uid="{612EE456-66DF-432C-A99D-192EE84C0376}" name="Februari" dataDxfId="5"/>
    <tableColumn id="5" xr3:uid="{5F63C900-D42C-4D40-880E-109B035BC84C}" name="Masuk" dataDxfId="4"/>
    <tableColumn id="6" xr3:uid="{D1FB9EA9-A810-46D9-AE4C-6A897C5ACB49}" name="Keluar" dataDxfId="3"/>
    <tableColumn id="14" xr3:uid="{C00D3C88-CE4F-465F-9255-8B89BCC2AC4F}" name="NIK" dataDxfId="2">
      <calculatedColumnFormula>VLOOKUP(Table79101112133[[#This Row],[Februari]],'Clean Data HR'!$G$2:$H$102,2,0)</calculatedColumnFormula>
    </tableColumn>
    <tableColumn id="8" xr3:uid="{A5CCB418-FAE2-4F1D-9769-41AF28B381CD}" name="No Rek" dataDxfId="1"/>
    <tableColumn id="13" xr3:uid="{D72EF805-0A31-4FB0-90DF-CCFC38435CE9}" name="Sales Penggant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08DB-7AAA-441D-BB5A-3469C96017C1}">
  <dimension ref="A1:N106"/>
  <sheetViews>
    <sheetView showGridLines="0" workbookViewId="0">
      <selection activeCell="G3" sqref="A2:K105"/>
    </sheetView>
  </sheetViews>
  <sheetFormatPr defaultRowHeight="15" x14ac:dyDescent="0.25"/>
  <cols>
    <col min="2" max="2" width="11.42578125" bestFit="1" customWidth="1"/>
    <col min="3" max="3" width="12.85546875" bestFit="1" customWidth="1"/>
    <col min="4" max="4" width="27.5703125" bestFit="1" customWidth="1"/>
    <col min="5" max="6" width="10.7109375" bestFit="1" customWidth="1"/>
    <col min="7" max="7" width="12.42578125" customWidth="1"/>
    <col min="8" max="8" width="11" bestFit="1" customWidth="1"/>
    <col min="9" max="9" width="31.140625" customWidth="1"/>
    <col min="10" max="10" width="15.140625" customWidth="1"/>
    <col min="11" max="11" width="32.5703125" customWidth="1"/>
    <col min="13" max="13" width="13.85546875" customWidth="1"/>
    <col min="14" max="14" width="25.85546875" customWidth="1"/>
  </cols>
  <sheetData>
    <row r="1" spans="1:14" ht="15.75" thickBot="1" x14ac:dyDescent="0.3">
      <c r="A1" s="89" t="s">
        <v>0</v>
      </c>
      <c r="B1" s="89" t="s">
        <v>1</v>
      </c>
      <c r="C1" s="89" t="s">
        <v>2</v>
      </c>
      <c r="D1" s="90" t="s">
        <v>3</v>
      </c>
      <c r="E1" s="91" t="s">
        <v>4</v>
      </c>
      <c r="F1" s="89" t="s">
        <v>5</v>
      </c>
      <c r="G1" s="89" t="s">
        <v>6</v>
      </c>
      <c r="H1" s="89" t="s">
        <v>7</v>
      </c>
      <c r="I1" s="93" t="s">
        <v>617</v>
      </c>
      <c r="J1" s="93" t="s">
        <v>618</v>
      </c>
      <c r="K1" s="92" t="s">
        <v>643</v>
      </c>
    </row>
    <row r="2" spans="1:14" x14ac:dyDescent="0.25">
      <c r="A2" s="94" t="str">
        <f t="shared" ref="A2:A59" si="0">IF(LEFT(RIGHT(C2,2),1)="0","Bandung",IF(LEFT(RIGHT(C2,2),1)="2","PCK",IF(LEFT(RIGHT(C2,2),1)="6","Cirebon",IF(LEFT(RIGHT(C2,2),1)="7","Tasik",IF(LEFT(RIGHT(C2,2),1)="8","Bogor","")))))</f>
        <v>Bandung</v>
      </c>
      <c r="B2" s="94" t="str">
        <f t="shared" ref="B2:B76" si="1">IF(LEFT(C2,2)="EL","Elektrik",IF(LEFT(C2,2)="PP","Pipa Pompa",IF(LEFT(C2,2)="IC","ICI",IF(LEFT(C2,2)="PI","Pipamas",""))))</f>
        <v>Elektrik</v>
      </c>
      <c r="C2" s="95" t="s">
        <v>9</v>
      </c>
      <c r="D2" s="9" t="s">
        <v>538</v>
      </c>
      <c r="E2" s="96">
        <v>44588</v>
      </c>
      <c r="F2" s="96"/>
      <c r="G2" s="88" t="str">
        <f>VLOOKUP(Table7910111213[[#This Row],[Februari]],'Clean Data HR'!$G$2:$H$102,2,0)</f>
        <v>PMD2201011</v>
      </c>
      <c r="H2" s="88">
        <v>4371314568</v>
      </c>
      <c r="I2" s="97" t="s">
        <v>538</v>
      </c>
      <c r="J2" s="98" t="b">
        <f>Table7910111213[[#This Row],[Februari]]=Table7910111213[[#This Row],[Data HR]]</f>
        <v>1</v>
      </c>
      <c r="K2" s="112"/>
      <c r="M2" s="122" t="s">
        <v>639</v>
      </c>
      <c r="N2" s="122"/>
    </row>
    <row r="3" spans="1:14" x14ac:dyDescent="0.25">
      <c r="A3" s="94" t="str">
        <f t="shared" si="0"/>
        <v>Bandung</v>
      </c>
      <c r="B3" s="94" t="str">
        <f t="shared" si="1"/>
        <v>Elektrik</v>
      </c>
      <c r="C3" s="95" t="s">
        <v>10</v>
      </c>
      <c r="D3" s="9" t="s">
        <v>539</v>
      </c>
      <c r="E3" s="96">
        <v>46058</v>
      </c>
      <c r="F3" s="96"/>
      <c r="G3" s="61" t="s">
        <v>12</v>
      </c>
      <c r="H3" s="87" t="s">
        <v>13</v>
      </c>
      <c r="I3" s="97" t="s">
        <v>634</v>
      </c>
      <c r="J3" s="98" t="b">
        <f>Table7910111213[[#This Row],[Februari]]=Table7910111213[[#This Row],[Data HR]]</f>
        <v>0</v>
      </c>
      <c r="K3" s="112"/>
      <c r="M3" s="111" t="s">
        <v>6</v>
      </c>
      <c r="N3" s="111" t="s">
        <v>8</v>
      </c>
    </row>
    <row r="4" spans="1:14" x14ac:dyDescent="0.25">
      <c r="A4" s="94" t="str">
        <f t="shared" si="0"/>
        <v>Bandung</v>
      </c>
      <c r="B4" s="94" t="str">
        <f t="shared" si="1"/>
        <v>Elektrik</v>
      </c>
      <c r="C4" s="95" t="s">
        <v>14</v>
      </c>
      <c r="D4" s="9" t="s">
        <v>540</v>
      </c>
      <c r="E4" s="96">
        <v>46006</v>
      </c>
      <c r="F4" s="96"/>
      <c r="G4" s="88" t="str">
        <f>VLOOKUP(Table7910111213[[#This Row],[Februari]],'Clean Data HR'!$G$2:$H$102,2,0)</f>
        <v>PMD2512008</v>
      </c>
      <c r="H4" s="88" t="s">
        <v>288</v>
      </c>
      <c r="I4" s="97" t="s">
        <v>540</v>
      </c>
      <c r="J4" s="98" t="b">
        <f>Table7910111213[[#This Row],[Februari]]=Table7910111213[[#This Row],[Data HR]]</f>
        <v>1</v>
      </c>
      <c r="K4" s="112"/>
      <c r="M4" s="107" t="s">
        <v>527</v>
      </c>
      <c r="N4" s="107" t="s">
        <v>635</v>
      </c>
    </row>
    <row r="5" spans="1:14" x14ac:dyDescent="0.25">
      <c r="A5" s="94" t="str">
        <f t="shared" si="0"/>
        <v>Bandung</v>
      </c>
      <c r="B5" s="94" t="str">
        <f t="shared" si="1"/>
        <v>Elektrik</v>
      </c>
      <c r="C5" s="95" t="s">
        <v>15</v>
      </c>
      <c r="D5" s="9" t="s">
        <v>541</v>
      </c>
      <c r="E5" s="96">
        <v>45533</v>
      </c>
      <c r="F5" s="96"/>
      <c r="G5" s="88" t="str">
        <f>VLOOKUP(Table7910111213[[#This Row],[Februari]],'Clean Data HR'!$G$2:$H$102,2,0)</f>
        <v>PMD2408006</v>
      </c>
      <c r="H5" s="88" t="s">
        <v>619</v>
      </c>
      <c r="I5" s="97" t="s">
        <v>541</v>
      </c>
      <c r="J5" s="98" t="b">
        <f>Table7910111213[[#This Row],[Februari]]=Table7910111213[[#This Row],[Data HR]]</f>
        <v>1</v>
      </c>
      <c r="K5" s="112"/>
      <c r="M5" s="108" t="s">
        <v>529</v>
      </c>
      <c r="N5" s="109" t="s">
        <v>636</v>
      </c>
    </row>
    <row r="6" spans="1:14" x14ac:dyDescent="0.25">
      <c r="A6" s="94" t="str">
        <f t="shared" si="0"/>
        <v>Bandung</v>
      </c>
      <c r="B6" s="94" t="str">
        <f t="shared" si="1"/>
        <v>Elektrik</v>
      </c>
      <c r="C6" s="95" t="s">
        <v>16</v>
      </c>
      <c r="D6" s="9" t="s">
        <v>542</v>
      </c>
      <c r="E6" s="96">
        <v>45628</v>
      </c>
      <c r="F6" s="96"/>
      <c r="G6" s="88" t="str">
        <f>VLOOKUP(Table7910111213[[#This Row],[Februari]],'Clean Data HR'!$G$2:$H$102,2,0)</f>
        <v>PMD2412001</v>
      </c>
      <c r="H6" s="88" t="s">
        <v>282</v>
      </c>
      <c r="I6" s="97" t="s">
        <v>542</v>
      </c>
      <c r="J6" s="98" t="b">
        <f>Table7910111213[[#This Row],[Februari]]=Table7910111213[[#This Row],[Data HR]]</f>
        <v>1</v>
      </c>
      <c r="K6" s="112"/>
      <c r="M6" s="107" t="s">
        <v>532</v>
      </c>
      <c r="N6" s="107" t="s">
        <v>637</v>
      </c>
    </row>
    <row r="7" spans="1:14" x14ac:dyDescent="0.25">
      <c r="A7" s="94" t="str">
        <f t="shared" si="0"/>
        <v>Bandung</v>
      </c>
      <c r="B7" s="94" t="str">
        <f t="shared" si="1"/>
        <v>Elektrik</v>
      </c>
      <c r="C7" s="95" t="s">
        <v>17</v>
      </c>
      <c r="D7" s="97" t="s">
        <v>603</v>
      </c>
      <c r="E7" s="96">
        <v>46000</v>
      </c>
      <c r="F7" s="96"/>
      <c r="G7" s="88" t="str">
        <f>VLOOKUP(Table7910111213[[#This Row],[Februari]],'Clean Data HR'!$G$2:$H$102,2,0)</f>
        <v>PMD2512005</v>
      </c>
      <c r="H7" s="88" t="s">
        <v>285</v>
      </c>
      <c r="I7" s="97" t="s">
        <v>603</v>
      </c>
      <c r="J7" s="98" t="b">
        <f>Table7910111213[[#This Row],[Februari]]=Table7910111213[[#This Row],[Data HR]]</f>
        <v>1</v>
      </c>
      <c r="K7" s="112"/>
      <c r="M7" s="110" t="s">
        <v>535</v>
      </c>
      <c r="N7" s="107" t="s">
        <v>638</v>
      </c>
    </row>
    <row r="8" spans="1:14" x14ac:dyDescent="0.25">
      <c r="A8" s="94" t="str">
        <f t="shared" si="0"/>
        <v>Bandung</v>
      </c>
      <c r="B8" s="94" t="str">
        <f t="shared" si="1"/>
        <v>Elektrik</v>
      </c>
      <c r="C8" s="95" t="s">
        <v>18</v>
      </c>
      <c r="D8" s="9" t="s">
        <v>543</v>
      </c>
      <c r="E8" s="96">
        <v>44704</v>
      </c>
      <c r="F8" s="96"/>
      <c r="G8" s="88" t="str">
        <f>VLOOKUP(Table7910111213[[#This Row],[Februari]],'Clean Data HR'!$G$2:$H$102,2,0)</f>
        <v>PMD2205003</v>
      </c>
      <c r="H8" s="88">
        <v>2810384045</v>
      </c>
      <c r="I8" s="97" t="s">
        <v>543</v>
      </c>
      <c r="J8" s="98" t="b">
        <f>Table7910111213[[#This Row],[Februari]]=Table7910111213[[#This Row],[Data HR]]</f>
        <v>1</v>
      </c>
      <c r="K8" s="112"/>
    </row>
    <row r="9" spans="1:14" x14ac:dyDescent="0.25">
      <c r="A9" s="94" t="str">
        <f t="shared" si="0"/>
        <v>Bandung</v>
      </c>
      <c r="B9" s="94" t="str">
        <f>IF(LEFT(C9,2)="EL","Elektrik",IF(LEFT(C9,2)="PP","Pipa Pompa",IF(LEFT(C9,2)="IC","ICI",IF(LEFT(C9,2)="PI","Pipamas",""))))</f>
        <v>Elektrik</v>
      </c>
      <c r="C9" s="95" t="s">
        <v>19</v>
      </c>
      <c r="D9" s="9" t="s">
        <v>544</v>
      </c>
      <c r="E9" s="96">
        <v>44706</v>
      </c>
      <c r="F9" s="96"/>
      <c r="G9" s="88" t="str">
        <f>VLOOKUP(Table7910111213[[#This Row],[Februari]],'Clean Data HR'!$G$2:$H$102,2,0)</f>
        <v>PMD2205006</v>
      </c>
      <c r="H9" s="88" t="s">
        <v>620</v>
      </c>
      <c r="I9" s="97" t="s">
        <v>544</v>
      </c>
      <c r="J9" s="98" t="b">
        <f>Table7910111213[[#This Row],[Februari]]=Table7910111213[[#This Row],[Data HR]]</f>
        <v>1</v>
      </c>
      <c r="K9" s="112"/>
    </row>
    <row r="10" spans="1:14" x14ac:dyDescent="0.25">
      <c r="A10" s="94" t="str">
        <f t="shared" si="0"/>
        <v>PCK</v>
      </c>
      <c r="B10" s="94" t="str">
        <f t="shared" si="1"/>
        <v>Elektrik</v>
      </c>
      <c r="C10" s="99" t="s">
        <v>21</v>
      </c>
      <c r="D10" s="9" t="s">
        <v>545</v>
      </c>
      <c r="E10" s="96">
        <v>45649</v>
      </c>
      <c r="F10" s="96"/>
      <c r="G10" s="88" t="str">
        <f>VLOOKUP(Table7910111213[[#This Row],[Februari]],'Clean Data HR'!$G$2:$H$102,2,0)</f>
        <v>PMK2412001</v>
      </c>
      <c r="H10" s="88" t="s">
        <v>406</v>
      </c>
      <c r="I10" s="97" t="s">
        <v>545</v>
      </c>
      <c r="J10" s="98" t="b">
        <f>Table7910111213[[#This Row],[Februari]]=Table7910111213[[#This Row],[Data HR]]</f>
        <v>1</v>
      </c>
      <c r="K10" s="112"/>
    </row>
    <row r="11" spans="1:14" ht="15.75" x14ac:dyDescent="0.25">
      <c r="A11" s="94" t="str">
        <f t="shared" si="0"/>
        <v>Cirebon</v>
      </c>
      <c r="B11" s="94" t="str">
        <f t="shared" si="1"/>
        <v>Elektrik</v>
      </c>
      <c r="C11" s="100" t="s">
        <v>23</v>
      </c>
      <c r="D11" s="9" t="s">
        <v>24</v>
      </c>
      <c r="E11" s="96">
        <v>44951</v>
      </c>
      <c r="F11" s="96"/>
      <c r="G11" s="88" t="str">
        <f>VLOOKUP(Table7910111213[[#This Row],[Februari]],'Clean Data HR'!$G$2:$H$102,2,0)</f>
        <v>PMC2301001</v>
      </c>
      <c r="H11" s="88" t="s">
        <v>423</v>
      </c>
      <c r="I11" s="97" t="s">
        <v>24</v>
      </c>
      <c r="J11" s="98" t="b">
        <f>Table7910111213[[#This Row],[Februari]]=Table7910111213[[#This Row],[Data HR]]</f>
        <v>1</v>
      </c>
      <c r="K11" s="112"/>
    </row>
    <row r="12" spans="1:14" ht="15.75" x14ac:dyDescent="0.25">
      <c r="A12" s="94" t="str">
        <f t="shared" si="0"/>
        <v>Cirebon</v>
      </c>
      <c r="B12" s="94" t="str">
        <f t="shared" si="1"/>
        <v>Elektrik</v>
      </c>
      <c r="C12" s="100" t="s">
        <v>25</v>
      </c>
      <c r="D12" s="9" t="s">
        <v>26</v>
      </c>
      <c r="E12" s="96">
        <v>44536</v>
      </c>
      <c r="F12" s="96"/>
      <c r="G12" s="88" t="str">
        <f>VLOOKUP(Table7910111213[[#This Row],[Februari]],'Clean Data HR'!$G$2:$H$102,2,0)</f>
        <v>PMC2112006</v>
      </c>
      <c r="H12" s="88">
        <v>8180224085</v>
      </c>
      <c r="I12" s="97" t="s">
        <v>26</v>
      </c>
      <c r="J12" s="98" t="b">
        <f>Table7910111213[[#This Row],[Februari]]=Table7910111213[[#This Row],[Data HR]]</f>
        <v>1</v>
      </c>
      <c r="K12" s="112"/>
    </row>
    <row r="13" spans="1:14" ht="15.75" x14ac:dyDescent="0.25">
      <c r="A13" s="94" t="str">
        <f t="shared" si="0"/>
        <v>Cirebon</v>
      </c>
      <c r="B13" s="94" t="str">
        <f t="shared" si="1"/>
        <v>Elektrik</v>
      </c>
      <c r="C13" s="100" t="s">
        <v>27</v>
      </c>
      <c r="D13" s="9" t="s">
        <v>28</v>
      </c>
      <c r="E13" s="96">
        <v>45845</v>
      </c>
      <c r="F13" s="96"/>
      <c r="G13" s="113" t="s">
        <v>433</v>
      </c>
      <c r="H13" s="88">
        <v>373802651</v>
      </c>
      <c r="I13" s="9" t="s">
        <v>28</v>
      </c>
      <c r="J13" s="98" t="b">
        <f>Table7910111213[[#This Row],[Februari]]=Table7910111213[[#This Row],[Data HR]]</f>
        <v>1</v>
      </c>
      <c r="K13" s="112"/>
    </row>
    <row r="14" spans="1:14" ht="15.75" x14ac:dyDescent="0.25">
      <c r="A14" s="94" t="str">
        <f t="shared" si="0"/>
        <v>Cirebon</v>
      </c>
      <c r="B14" s="94" t="str">
        <f t="shared" si="1"/>
        <v>Elektrik</v>
      </c>
      <c r="C14" s="100" t="s">
        <v>29</v>
      </c>
      <c r="D14" s="9" t="s">
        <v>30</v>
      </c>
      <c r="E14" s="96">
        <v>45502</v>
      </c>
      <c r="F14" s="96"/>
      <c r="G14" s="88" t="str">
        <f>VLOOKUP(Table7910111213[[#This Row],[Februari]],'Clean Data HR'!$G$2:$H$102,2,0)</f>
        <v>PMC2407004</v>
      </c>
      <c r="H14" s="88" t="s">
        <v>621</v>
      </c>
      <c r="I14" s="97" t="s">
        <v>30</v>
      </c>
      <c r="J14" s="98" t="b">
        <f>Table7910111213[[#This Row],[Februari]]=Table7910111213[[#This Row],[Data HR]]</f>
        <v>1</v>
      </c>
      <c r="K14" s="112"/>
    </row>
    <row r="15" spans="1:14" ht="15.75" x14ac:dyDescent="0.25">
      <c r="A15" s="94" t="str">
        <f t="shared" si="0"/>
        <v>Cirebon</v>
      </c>
      <c r="B15" s="94" t="str">
        <f t="shared" si="1"/>
        <v>Elektrik</v>
      </c>
      <c r="C15" s="100" t="s">
        <v>31</v>
      </c>
      <c r="D15" s="9" t="s">
        <v>546</v>
      </c>
      <c r="E15" s="96">
        <v>45708</v>
      </c>
      <c r="F15" s="96"/>
      <c r="G15" s="88" t="str">
        <f>VLOOKUP(Table7910111213[[#This Row],[Februari]],'Clean Data HR'!$G$2:$H$102,2,0)</f>
        <v>PMC2502002</v>
      </c>
      <c r="H15" s="88" t="s">
        <v>431</v>
      </c>
      <c r="I15" s="97" t="s">
        <v>546</v>
      </c>
      <c r="J15" s="98" t="b">
        <f>Table7910111213[[#This Row],[Februari]]=Table7910111213[[#This Row],[Data HR]]</f>
        <v>1</v>
      </c>
      <c r="K15" s="112"/>
    </row>
    <row r="16" spans="1:14" ht="15.75" x14ac:dyDescent="0.25">
      <c r="A16" s="94" t="str">
        <f t="shared" si="0"/>
        <v>Cirebon</v>
      </c>
      <c r="B16" s="94" t="str">
        <f t="shared" si="1"/>
        <v>Elektrik</v>
      </c>
      <c r="C16" s="100" t="s">
        <v>32</v>
      </c>
      <c r="D16" s="9" t="s">
        <v>33</v>
      </c>
      <c r="E16" s="96">
        <v>45643</v>
      </c>
      <c r="F16" s="96"/>
      <c r="G16" s="88" t="str">
        <f>VLOOKUP(Table7910111213[[#This Row],[Februari]],'Clean Data HR'!$G$2:$H$102,2,0)</f>
        <v>PMC2412003</v>
      </c>
      <c r="H16" s="88" t="s">
        <v>428</v>
      </c>
      <c r="I16" s="97" t="s">
        <v>33</v>
      </c>
      <c r="J16" s="98" t="b">
        <f>Table7910111213[[#This Row],[Februari]]=Table7910111213[[#This Row],[Data HR]]</f>
        <v>1</v>
      </c>
      <c r="K16" s="112"/>
    </row>
    <row r="17" spans="1:11" x14ac:dyDescent="0.25">
      <c r="A17" s="94" t="str">
        <f t="shared" si="0"/>
        <v>Tasik</v>
      </c>
      <c r="B17" s="94" t="str">
        <f t="shared" si="1"/>
        <v>Elektrik</v>
      </c>
      <c r="C17" s="88" t="s">
        <v>34</v>
      </c>
      <c r="D17" s="9" t="s">
        <v>547</v>
      </c>
      <c r="E17" s="96">
        <v>45468</v>
      </c>
      <c r="F17" s="96"/>
      <c r="G17" s="88" t="str">
        <f>VLOOKUP(Table7910111213[[#This Row],[Februari]],'Clean Data HR'!$G$2:$H$102,2,0)</f>
        <v>PMT2406003</v>
      </c>
      <c r="H17" s="88" t="s">
        <v>484</v>
      </c>
      <c r="I17" s="97" t="s">
        <v>547</v>
      </c>
      <c r="J17" s="98" t="b">
        <f>Table7910111213[[#This Row],[Februari]]=Table7910111213[[#This Row],[Data HR]]</f>
        <v>1</v>
      </c>
      <c r="K17" s="112"/>
    </row>
    <row r="18" spans="1:11" x14ac:dyDescent="0.25">
      <c r="A18" s="94" t="str">
        <f t="shared" si="0"/>
        <v>Tasik</v>
      </c>
      <c r="B18" s="94" t="str">
        <f t="shared" si="1"/>
        <v>Elektrik</v>
      </c>
      <c r="C18" s="88" t="s">
        <v>36</v>
      </c>
      <c r="D18" s="9" t="s">
        <v>548</v>
      </c>
      <c r="E18" s="96">
        <v>44734</v>
      </c>
      <c r="F18" s="96"/>
      <c r="G18" s="88" t="str">
        <f>VLOOKUP(Table7910111213[[#This Row],[Februari]],'Clean Data HR'!$G$2:$H$102,2,0)</f>
        <v>PMT2206001</v>
      </c>
      <c r="H18" s="88">
        <v>3210914411</v>
      </c>
      <c r="I18" s="97" t="s">
        <v>548</v>
      </c>
      <c r="J18" s="98" t="b">
        <f>Table7910111213[[#This Row],[Februari]]=Table7910111213[[#This Row],[Data HR]]</f>
        <v>1</v>
      </c>
      <c r="K18" s="112"/>
    </row>
    <row r="19" spans="1:11" x14ac:dyDescent="0.25">
      <c r="A19" s="94" t="str">
        <f t="shared" si="0"/>
        <v>Tasik</v>
      </c>
      <c r="B19" s="94" t="str">
        <f t="shared" si="1"/>
        <v>Elektrik</v>
      </c>
      <c r="C19" s="88" t="s">
        <v>38</v>
      </c>
      <c r="D19" s="9" t="s">
        <v>549</v>
      </c>
      <c r="E19" s="96">
        <v>45558</v>
      </c>
      <c r="F19" s="96"/>
      <c r="G19" s="88" t="str">
        <f>VLOOKUP(Table7910111213[[#This Row],[Februari]],'Clean Data HR'!$G$2:$H$102,2,0)</f>
        <v>PMT2409001</v>
      </c>
      <c r="H19" s="88" t="s">
        <v>622</v>
      </c>
      <c r="I19" s="97" t="s">
        <v>549</v>
      </c>
      <c r="J19" s="98" t="b">
        <f>Table7910111213[[#This Row],[Februari]]=Table7910111213[[#This Row],[Data HR]]</f>
        <v>1</v>
      </c>
      <c r="K19" s="112"/>
    </row>
    <row r="20" spans="1:11" x14ac:dyDescent="0.25">
      <c r="A20" s="94" t="str">
        <f t="shared" si="0"/>
        <v>Tasik</v>
      </c>
      <c r="B20" s="94" t="str">
        <f t="shared" si="1"/>
        <v>Elektrik</v>
      </c>
      <c r="C20" s="88" t="s">
        <v>40</v>
      </c>
      <c r="D20" s="9" t="s">
        <v>550</v>
      </c>
      <c r="E20" s="96">
        <v>45820</v>
      </c>
      <c r="F20" s="96"/>
      <c r="G20" s="88" t="str">
        <f>VLOOKUP(Table7910111213[[#This Row],[Februari]],'Clean Data HR'!$G$2:$H$102,2,0)</f>
        <v>PMT2506001</v>
      </c>
      <c r="H20" s="88" t="s">
        <v>490</v>
      </c>
      <c r="I20" s="97" t="s">
        <v>550</v>
      </c>
      <c r="J20" s="98" t="b">
        <f>Table7910111213[[#This Row],[Februari]]=Table7910111213[[#This Row],[Data HR]]</f>
        <v>1</v>
      </c>
      <c r="K20" s="112"/>
    </row>
    <row r="21" spans="1:11" x14ac:dyDescent="0.25">
      <c r="A21" s="94" t="str">
        <f t="shared" si="0"/>
        <v>Tasik</v>
      </c>
      <c r="B21" s="94" t="str">
        <f t="shared" si="1"/>
        <v>Elektrik</v>
      </c>
      <c r="C21" s="88" t="s">
        <v>42</v>
      </c>
      <c r="D21" s="9" t="s">
        <v>613</v>
      </c>
      <c r="E21" s="96">
        <v>45679</v>
      </c>
      <c r="F21" s="96"/>
      <c r="G21" s="88" t="str">
        <f>VLOOKUP(Table7910111213[[#This Row],[Februari]],'Clean Data HR'!$G$2:$H$102,2,0)</f>
        <v>PMT2501001</v>
      </c>
      <c r="H21" s="88" t="s">
        <v>487</v>
      </c>
      <c r="I21" s="97" t="s">
        <v>613</v>
      </c>
      <c r="J21" s="98" t="b">
        <f>Table7910111213[[#This Row],[Februari]]=Table7910111213[[#This Row],[Data HR]]</f>
        <v>1</v>
      </c>
      <c r="K21" s="112"/>
    </row>
    <row r="22" spans="1:11" ht="15.75" x14ac:dyDescent="0.25">
      <c r="A22" s="94" t="str">
        <f t="shared" si="0"/>
        <v>Bogor</v>
      </c>
      <c r="B22" s="94" t="str">
        <f t="shared" si="1"/>
        <v>Elektrik</v>
      </c>
      <c r="C22" s="100" t="s">
        <v>43</v>
      </c>
      <c r="D22" s="9" t="s">
        <v>551</v>
      </c>
      <c r="E22" s="96">
        <v>45414</v>
      </c>
      <c r="F22" s="96"/>
      <c r="G22" s="88" t="str">
        <f>VLOOKUP(Table7910111213[[#This Row],[Februari]],'Clean Data HR'!$G$2:$H$102,2,0)</f>
        <v>PMB2405003</v>
      </c>
      <c r="H22" s="88" t="s">
        <v>365</v>
      </c>
      <c r="I22" s="97" t="s">
        <v>551</v>
      </c>
      <c r="J22" s="98" t="b">
        <f>Table7910111213[[#This Row],[Februari]]=Table7910111213[[#This Row],[Data HR]]</f>
        <v>1</v>
      </c>
      <c r="K22" s="112"/>
    </row>
    <row r="23" spans="1:11" ht="15.75" x14ac:dyDescent="0.25">
      <c r="A23" s="94" t="str">
        <f t="shared" si="0"/>
        <v>Bogor</v>
      </c>
      <c r="B23" s="94" t="str">
        <f t="shared" si="1"/>
        <v>Elektrik</v>
      </c>
      <c r="C23" s="100" t="s">
        <v>44</v>
      </c>
      <c r="D23" s="9" t="s">
        <v>552</v>
      </c>
      <c r="E23" s="96">
        <v>44903</v>
      </c>
      <c r="F23" s="96"/>
      <c r="G23" s="88" t="str">
        <f>VLOOKUP(Table7910111213[[#This Row],[Februari]],'Clean Data HR'!$G$2:$H$102,2,0)</f>
        <v>PMB2212002</v>
      </c>
      <c r="H23" s="88">
        <v>7402130230</v>
      </c>
      <c r="I23" s="97" t="s">
        <v>552</v>
      </c>
      <c r="J23" s="98" t="b">
        <f>Table7910111213[[#This Row],[Februari]]=Table7910111213[[#This Row],[Data HR]]</f>
        <v>1</v>
      </c>
      <c r="K23" s="112"/>
    </row>
    <row r="24" spans="1:11" ht="15.75" x14ac:dyDescent="0.25">
      <c r="A24" s="94" t="str">
        <f t="shared" si="0"/>
        <v>Bogor</v>
      </c>
      <c r="B24" s="94" t="str">
        <f t="shared" si="1"/>
        <v>Elektrik</v>
      </c>
      <c r="C24" s="100" t="s">
        <v>45</v>
      </c>
      <c r="D24" s="9" t="s">
        <v>553</v>
      </c>
      <c r="E24" s="96">
        <v>44531</v>
      </c>
      <c r="F24" s="96"/>
      <c r="G24" s="88" t="str">
        <f>VLOOKUP(Table7910111213[[#This Row],[Februari]],'Clean Data HR'!$G$2:$H$102,2,0)</f>
        <v>PMB2112002</v>
      </c>
      <c r="H24" s="88">
        <v>5015250876</v>
      </c>
      <c r="I24" s="97" t="s">
        <v>553</v>
      </c>
      <c r="J24" s="98" t="b">
        <f>Table7910111213[[#This Row],[Februari]]=Table7910111213[[#This Row],[Data HR]]</f>
        <v>1</v>
      </c>
      <c r="K24" s="112"/>
    </row>
    <row r="25" spans="1:11" ht="15.75" x14ac:dyDescent="0.25">
      <c r="A25" s="94" t="str">
        <f t="shared" si="0"/>
        <v>Bogor</v>
      </c>
      <c r="B25" s="94" t="str">
        <f t="shared" si="1"/>
        <v>Elektrik</v>
      </c>
      <c r="C25" s="100" t="s">
        <v>46</v>
      </c>
      <c r="D25" s="9" t="s">
        <v>554</v>
      </c>
      <c r="E25" s="96">
        <v>44091</v>
      </c>
      <c r="F25" s="96"/>
      <c r="G25" s="88" t="str">
        <f>VLOOKUP(Table7910111213[[#This Row],[Februari]],'Clean Data HR'!$G$2:$H$102,2,0)</f>
        <v>PMB2009005</v>
      </c>
      <c r="H25" s="88">
        <v>5735335861</v>
      </c>
      <c r="I25" s="97" t="s">
        <v>554</v>
      </c>
      <c r="J25" s="98" t="b">
        <f>Table7910111213[[#This Row],[Februari]]=Table7910111213[[#This Row],[Data HR]]</f>
        <v>1</v>
      </c>
      <c r="K25" s="112"/>
    </row>
    <row r="26" spans="1:11" ht="15.75" x14ac:dyDescent="0.25">
      <c r="A26" s="94" t="str">
        <f t="shared" si="0"/>
        <v>Bogor</v>
      </c>
      <c r="B26" s="94" t="str">
        <f t="shared" si="1"/>
        <v>Elektrik</v>
      </c>
      <c r="C26" s="100" t="s">
        <v>47</v>
      </c>
      <c r="D26" s="9" t="s">
        <v>555</v>
      </c>
      <c r="E26" s="96">
        <v>46066</v>
      </c>
      <c r="F26" s="101"/>
      <c r="G26" s="88" t="str">
        <f>VLOOKUP(Table7910111213[[#This Row],[Februari]],'Clean Data HR'!$G$2:$H$102,2,0)</f>
        <v>PMD2602008</v>
      </c>
      <c r="H26" s="88" t="s">
        <v>50</v>
      </c>
      <c r="I26" s="97" t="s">
        <v>555</v>
      </c>
      <c r="J26" s="98" t="b">
        <f>Table7910111213[[#This Row],[Februari]]=Table7910111213[[#This Row],[Data HR]]</f>
        <v>1</v>
      </c>
      <c r="K26" s="112"/>
    </row>
    <row r="27" spans="1:11" x14ac:dyDescent="0.25">
      <c r="A27" s="102" t="s">
        <v>51</v>
      </c>
      <c r="B27" s="102" t="str">
        <f>IF(LEFT(C27,2)="EL","Elektrik",IF(LEFT(C27,2)="PP","Pipa Pompa",IF(LEFT(C27,2)="IC","ICI",IF(LEFT(C27,2)="PI","Pipamas",""))))</f>
        <v>Elektrik</v>
      </c>
      <c r="C27" s="95" t="s">
        <v>52</v>
      </c>
      <c r="D27" s="103" t="s">
        <v>556</v>
      </c>
      <c r="E27" s="96">
        <v>44875</v>
      </c>
      <c r="F27" s="101"/>
      <c r="G27" s="8" t="str">
        <f>VLOOKUP(Table7910111213[[#This Row],[Februari]],'Clean Data HR'!$G$2:$H$102,2,0)</f>
        <v>PMB2211002</v>
      </c>
      <c r="H27" s="87" t="s">
        <v>54</v>
      </c>
      <c r="I27" s="97" t="s">
        <v>556</v>
      </c>
      <c r="J27" s="98" t="b">
        <f>Table7910111213[[#This Row],[Februari]]=Table7910111213[[#This Row],[Data HR]]</f>
        <v>1</v>
      </c>
      <c r="K27" s="112"/>
    </row>
    <row r="28" spans="1:11" x14ac:dyDescent="0.25">
      <c r="A28" s="102" t="s">
        <v>51</v>
      </c>
      <c r="B28" s="102" t="str">
        <f>IF(LEFT(C28,2)="EL","Elektrik",IF(LEFT(C28,2)="PP","Pipa Pompa",IF(LEFT(C28,2)="IC","ICI",IF(LEFT(C28,2)="PI","Pipamas",""))))</f>
        <v>Elektrik</v>
      </c>
      <c r="C28" s="95" t="s">
        <v>55</v>
      </c>
      <c r="D28" s="103" t="s">
        <v>557</v>
      </c>
      <c r="E28" s="96">
        <v>45414</v>
      </c>
      <c r="F28" s="101"/>
      <c r="G28" s="8" t="str">
        <f>VLOOKUP(Table7910111213[[#This Row],[Februari]],'Clean Data HR'!$G$2:$H$102,2,0)</f>
        <v>PMB2405002</v>
      </c>
      <c r="H28" s="87" t="s">
        <v>57</v>
      </c>
      <c r="I28" s="97" t="s">
        <v>557</v>
      </c>
      <c r="J28" s="98" t="b">
        <f>Table7910111213[[#This Row],[Februari]]=Table7910111213[[#This Row],[Data HR]]</f>
        <v>1</v>
      </c>
      <c r="K28" s="112"/>
    </row>
    <row r="29" spans="1:11" x14ac:dyDescent="0.25">
      <c r="A29" s="94" t="str">
        <f t="shared" si="0"/>
        <v>Bandung</v>
      </c>
      <c r="B29" s="94" t="str">
        <f t="shared" si="1"/>
        <v>ICI</v>
      </c>
      <c r="C29" s="95" t="s">
        <v>58</v>
      </c>
      <c r="D29" s="9" t="s">
        <v>558</v>
      </c>
      <c r="E29" s="96">
        <v>45139</v>
      </c>
      <c r="F29" s="96"/>
      <c r="G29" s="88" t="str">
        <f>VLOOKUP(Table7910111213[[#This Row],[Februari]],'Clean Data HR'!$G$2:$H$102,2,0)</f>
        <v>PMD2308002</v>
      </c>
      <c r="H29" s="88" t="s">
        <v>327</v>
      </c>
      <c r="I29" s="97" t="s">
        <v>558</v>
      </c>
      <c r="J29" s="98" t="b">
        <f>Table7910111213[[#This Row],[Februari]]=Table7910111213[[#This Row],[Data HR]]</f>
        <v>1</v>
      </c>
      <c r="K29" s="112"/>
    </row>
    <row r="30" spans="1:11" x14ac:dyDescent="0.25">
      <c r="A30" s="94" t="str">
        <f t="shared" si="0"/>
        <v>Bandung</v>
      </c>
      <c r="B30" s="94" t="str">
        <f t="shared" si="1"/>
        <v>ICI</v>
      </c>
      <c r="C30" s="95" t="s">
        <v>59</v>
      </c>
      <c r="D30" s="9" t="s">
        <v>60</v>
      </c>
      <c r="E30" s="96">
        <v>46057</v>
      </c>
      <c r="F30" s="96"/>
      <c r="G30" s="8" t="str">
        <f>VLOOKUP(Table7910111213[[#This Row],[Februari]],'Clean Data HR'!$G$2:$H$102,2,0)</f>
        <v>PMD2602002</v>
      </c>
      <c r="H30" s="87" t="s">
        <v>62</v>
      </c>
      <c r="I30" s="97" t="s">
        <v>60</v>
      </c>
      <c r="J30" s="98" t="b">
        <f>Table7910111213[[#This Row],[Februari]]=Table7910111213[[#This Row],[Data HR]]</f>
        <v>1</v>
      </c>
      <c r="K30" s="112" t="s">
        <v>640</v>
      </c>
    </row>
    <row r="31" spans="1:11" x14ac:dyDescent="0.25">
      <c r="A31" s="94" t="str">
        <f t="shared" si="0"/>
        <v>Bandung</v>
      </c>
      <c r="B31" s="94" t="str">
        <f t="shared" si="1"/>
        <v>ICI</v>
      </c>
      <c r="C31" s="95" t="s">
        <v>63</v>
      </c>
      <c r="D31" s="9" t="s">
        <v>559</v>
      </c>
      <c r="E31" s="96">
        <v>44732</v>
      </c>
      <c r="F31" s="96"/>
      <c r="G31" s="88" t="str">
        <f>VLOOKUP(Table7910111213[[#This Row],[Februari]],'Clean Data HR'!$G$2:$H$102,2,0)</f>
        <v>PMD2206002</v>
      </c>
      <c r="H31" s="88" t="s">
        <v>623</v>
      </c>
      <c r="I31" s="97" t="s">
        <v>559</v>
      </c>
      <c r="J31" s="98" t="b">
        <f>Table7910111213[[#This Row],[Februari]]=Table7910111213[[#This Row],[Data HR]]</f>
        <v>1</v>
      </c>
      <c r="K31" s="112"/>
    </row>
    <row r="32" spans="1:11" x14ac:dyDescent="0.25">
      <c r="A32" s="94" t="str">
        <f t="shared" si="0"/>
        <v>Bandung</v>
      </c>
      <c r="B32" s="94" t="str">
        <f t="shared" si="1"/>
        <v>ICI</v>
      </c>
      <c r="C32" s="95" t="s">
        <v>65</v>
      </c>
      <c r="D32" s="9" t="s">
        <v>560</v>
      </c>
      <c r="E32" s="96">
        <v>44525</v>
      </c>
      <c r="F32" s="96"/>
      <c r="G32" s="88" t="str">
        <f>VLOOKUP(Table7910111213[[#This Row],[Februari]],'Clean Data HR'!$G$2:$H$102,2,0)</f>
        <v>PMD2111013</v>
      </c>
      <c r="H32" s="88" t="s">
        <v>624</v>
      </c>
      <c r="I32" s="97" t="s">
        <v>560</v>
      </c>
      <c r="J32" s="98" t="b">
        <f>Table7910111213[[#This Row],[Februari]]=Table7910111213[[#This Row],[Data HR]]</f>
        <v>1</v>
      </c>
      <c r="K32" s="112"/>
    </row>
    <row r="33" spans="1:11" x14ac:dyDescent="0.25">
      <c r="A33" s="94" t="str">
        <f t="shared" si="0"/>
        <v>Bandung</v>
      </c>
      <c r="B33" s="94" t="str">
        <f t="shared" si="1"/>
        <v>ICI</v>
      </c>
      <c r="C33" s="95" t="s">
        <v>66</v>
      </c>
      <c r="D33" s="88" t="s">
        <v>561</v>
      </c>
      <c r="E33" s="96">
        <v>43297</v>
      </c>
      <c r="F33" s="96"/>
      <c r="G33" s="8" t="s">
        <v>67</v>
      </c>
      <c r="H33" s="9">
        <v>2831431212</v>
      </c>
      <c r="I33" s="88" t="s">
        <v>561</v>
      </c>
      <c r="J33" s="98" t="b">
        <f>Table7910111213[[#This Row],[Februari]]=Table7910111213[[#This Row],[Data HR]]</f>
        <v>1</v>
      </c>
      <c r="K33" s="112"/>
    </row>
    <row r="34" spans="1:11" x14ac:dyDescent="0.25">
      <c r="A34" s="94" t="str">
        <f t="shared" si="0"/>
        <v>Bandung</v>
      </c>
      <c r="B34" s="94" t="str">
        <f t="shared" si="1"/>
        <v>ICI</v>
      </c>
      <c r="C34" s="95" t="s">
        <v>68</v>
      </c>
      <c r="D34" s="9" t="s">
        <v>562</v>
      </c>
      <c r="E34" s="96">
        <v>44533</v>
      </c>
      <c r="F34" s="96"/>
      <c r="G34" s="88" t="str">
        <f>VLOOKUP(Table7910111213[[#This Row],[Februari]],'Clean Data HR'!$G$2:$H$102,2,0)</f>
        <v>PMD2112004</v>
      </c>
      <c r="H34" s="88" t="s">
        <v>625</v>
      </c>
      <c r="I34" s="97" t="s">
        <v>562</v>
      </c>
      <c r="J34" s="98" t="b">
        <f>Table7910111213[[#This Row],[Februari]]=Table7910111213[[#This Row],[Data HR]]</f>
        <v>1</v>
      </c>
      <c r="K34" s="112"/>
    </row>
    <row r="35" spans="1:11" x14ac:dyDescent="0.25">
      <c r="A35" s="94" t="str">
        <f t="shared" si="0"/>
        <v>Bandung</v>
      </c>
      <c r="B35" s="94" t="str">
        <f t="shared" si="1"/>
        <v>ICI</v>
      </c>
      <c r="C35" s="95" t="s">
        <v>70</v>
      </c>
      <c r="D35" s="9" t="s">
        <v>563</v>
      </c>
      <c r="E35" s="96">
        <v>44572</v>
      </c>
      <c r="F35" s="96"/>
      <c r="G35" s="88" t="str">
        <f>VLOOKUP(Table7910111213[[#This Row],[Februari]],'Clean Data HR'!$G$2:$H$102,2,0)</f>
        <v>PMD2201008</v>
      </c>
      <c r="H35" s="88">
        <v>1760203960</v>
      </c>
      <c r="I35" s="97" t="s">
        <v>563</v>
      </c>
      <c r="J35" s="98" t="b">
        <f>Table7910111213[[#This Row],[Februari]]=Table7910111213[[#This Row],[Data HR]]</f>
        <v>1</v>
      </c>
      <c r="K35" s="112"/>
    </row>
    <row r="36" spans="1:11" x14ac:dyDescent="0.25">
      <c r="A36" s="94" t="str">
        <f t="shared" si="0"/>
        <v>Bandung</v>
      </c>
      <c r="B36" s="94" t="str">
        <f t="shared" si="1"/>
        <v>ICI</v>
      </c>
      <c r="C36" s="95" t="s">
        <v>70</v>
      </c>
      <c r="D36" s="9" t="s">
        <v>564</v>
      </c>
      <c r="E36" s="96">
        <v>46073</v>
      </c>
      <c r="F36" s="96"/>
      <c r="G36" s="88" t="str">
        <f>VLOOKUP(Table7910111213[[#This Row],[Februari]],'Clean Data HR'!$G$2:$H$102,2,0)</f>
        <v>PMD2602010</v>
      </c>
      <c r="H36" s="88" t="s">
        <v>73</v>
      </c>
      <c r="I36" s="97" t="s">
        <v>564</v>
      </c>
      <c r="J36" s="98" t="b">
        <f>Table7910111213[[#This Row],[Februari]]=Table7910111213[[#This Row],[Data HR]]</f>
        <v>1</v>
      </c>
      <c r="K36" s="112"/>
    </row>
    <row r="37" spans="1:11" ht="15.75" x14ac:dyDescent="0.25">
      <c r="A37" s="94" t="str">
        <f t="shared" si="0"/>
        <v>PCK</v>
      </c>
      <c r="B37" s="94" t="str">
        <f t="shared" si="1"/>
        <v>ICI</v>
      </c>
      <c r="C37" s="100" t="s">
        <v>74</v>
      </c>
      <c r="D37" s="9" t="s">
        <v>565</v>
      </c>
      <c r="E37" s="96">
        <v>44137</v>
      </c>
      <c r="F37" s="96"/>
      <c r="G37" s="88" t="str">
        <f>VLOOKUP(Table7910111213[[#This Row],[Februari]],'Clean Data HR'!$G$2:$H$102,2,0)</f>
        <v>PMK2011003</v>
      </c>
      <c r="H37" s="88">
        <v>3780397925</v>
      </c>
      <c r="I37" s="97" t="s">
        <v>565</v>
      </c>
      <c r="J37" s="98" t="b">
        <f>Table7910111213[[#This Row],[Februari]]=Table7910111213[[#This Row],[Data HR]]</f>
        <v>1</v>
      </c>
      <c r="K37" s="112"/>
    </row>
    <row r="38" spans="1:11" ht="15.75" x14ac:dyDescent="0.25">
      <c r="A38" s="94" t="str">
        <f t="shared" si="0"/>
        <v>PCK</v>
      </c>
      <c r="B38" s="94" t="str">
        <f t="shared" si="1"/>
        <v>ICI</v>
      </c>
      <c r="C38" s="100" t="s">
        <v>76</v>
      </c>
      <c r="D38" s="9" t="s">
        <v>566</v>
      </c>
      <c r="E38" s="96">
        <v>45894</v>
      </c>
      <c r="F38" s="96"/>
      <c r="G38" s="88" t="str">
        <f>VLOOKUP(Table7910111213[[#This Row],[Februari]],'Clean Data HR'!$G$2:$H$102,2,0)</f>
        <v>PMD2508008</v>
      </c>
      <c r="H38" s="88" t="s">
        <v>409</v>
      </c>
      <c r="I38" s="97" t="s">
        <v>566</v>
      </c>
      <c r="J38" s="98" t="b">
        <f>Table7910111213[[#This Row],[Februari]]=Table7910111213[[#This Row],[Data HR]]</f>
        <v>1</v>
      </c>
      <c r="K38" s="112"/>
    </row>
    <row r="39" spans="1:11" ht="15.75" x14ac:dyDescent="0.25">
      <c r="A39" s="94" t="str">
        <f t="shared" si="0"/>
        <v>PCK</v>
      </c>
      <c r="B39" s="94" t="str">
        <f t="shared" si="1"/>
        <v>ICI</v>
      </c>
      <c r="C39" s="100" t="s">
        <v>78</v>
      </c>
      <c r="D39" s="9" t="s">
        <v>567</v>
      </c>
      <c r="E39" s="96">
        <v>43349</v>
      </c>
      <c r="F39" s="96"/>
      <c r="G39" s="88" t="str">
        <f>VLOOKUP(Table7910111213[[#This Row],[Februari]],'Clean Data HR'!$G$2:$H$102,2,0)</f>
        <v>PMK1809003</v>
      </c>
      <c r="H39" s="88" t="s">
        <v>396</v>
      </c>
      <c r="I39" s="97" t="s">
        <v>567</v>
      </c>
      <c r="J39" s="98" t="b">
        <f>Table7910111213[[#This Row],[Februari]]=Table7910111213[[#This Row],[Data HR]]</f>
        <v>1</v>
      </c>
      <c r="K39" s="112"/>
    </row>
    <row r="40" spans="1:11" ht="15.75" x14ac:dyDescent="0.25">
      <c r="A40" s="94" t="str">
        <f t="shared" si="0"/>
        <v>PCK</v>
      </c>
      <c r="B40" s="94" t="str">
        <f t="shared" si="1"/>
        <v>ICI</v>
      </c>
      <c r="C40" s="100" t="s">
        <v>80</v>
      </c>
      <c r="D40" s="9" t="s">
        <v>568</v>
      </c>
      <c r="E40" s="96">
        <v>43332</v>
      </c>
      <c r="F40" s="96"/>
      <c r="G40" s="88" t="s">
        <v>626</v>
      </c>
      <c r="H40" s="88" t="s">
        <v>627</v>
      </c>
      <c r="I40" s="9" t="s">
        <v>568</v>
      </c>
      <c r="J40" s="98" t="b">
        <f>Table7910111213[[#This Row],[Februari]]=Table7910111213[[#This Row],[Data HR]]</f>
        <v>1</v>
      </c>
      <c r="K40" s="112"/>
    </row>
    <row r="41" spans="1:11" x14ac:dyDescent="0.25">
      <c r="A41" s="94" t="str">
        <f t="shared" si="0"/>
        <v>Tasik</v>
      </c>
      <c r="B41" s="94" t="str">
        <f t="shared" si="1"/>
        <v>ICI</v>
      </c>
      <c r="C41" s="99" t="s">
        <v>81</v>
      </c>
      <c r="D41" s="9" t="s">
        <v>569</v>
      </c>
      <c r="E41" s="96">
        <v>44533</v>
      </c>
      <c r="F41" s="96"/>
      <c r="G41" s="88" t="str">
        <f>VLOOKUP(Table7910111213[[#This Row],[Februari]],'Clean Data HR'!$G$2:$H$102,2,0)</f>
        <v>PMT2112005</v>
      </c>
      <c r="H41" s="88" t="s">
        <v>521</v>
      </c>
      <c r="I41" s="97" t="s">
        <v>569</v>
      </c>
      <c r="J41" s="98" t="b">
        <f>Table7910111213[[#This Row],[Februari]]=Table7910111213[[#This Row],[Data HR]]</f>
        <v>1</v>
      </c>
      <c r="K41" s="112"/>
    </row>
    <row r="42" spans="1:11" x14ac:dyDescent="0.25">
      <c r="A42" s="94" t="str">
        <f t="shared" si="0"/>
        <v>Tasik</v>
      </c>
      <c r="B42" s="94" t="str">
        <f t="shared" si="1"/>
        <v>ICI</v>
      </c>
      <c r="C42" s="99" t="s">
        <v>82</v>
      </c>
      <c r="D42" s="9" t="s">
        <v>570</v>
      </c>
      <c r="E42" s="96">
        <v>44781</v>
      </c>
      <c r="F42" s="96"/>
      <c r="G42" s="88" t="str">
        <f>VLOOKUP(Table7910111213[[#This Row],[Februari]],'Clean Data HR'!$G$2:$H$102,2,0)</f>
        <v>PMT2208001</v>
      </c>
      <c r="H42" s="88">
        <v>3210939872</v>
      </c>
      <c r="I42" s="97" t="s">
        <v>570</v>
      </c>
      <c r="J42" s="98" t="b">
        <f>Table7910111213[[#This Row],[Februari]]=Table7910111213[[#This Row],[Data HR]]</f>
        <v>1</v>
      </c>
      <c r="K42" s="112"/>
    </row>
    <row r="43" spans="1:11" x14ac:dyDescent="0.25">
      <c r="A43" s="94" t="str">
        <f t="shared" si="0"/>
        <v>Tasik</v>
      </c>
      <c r="B43" s="94" t="str">
        <f t="shared" si="1"/>
        <v>ICI</v>
      </c>
      <c r="C43" s="99" t="s">
        <v>83</v>
      </c>
      <c r="D43" s="9" t="s">
        <v>571</v>
      </c>
      <c r="E43" s="96">
        <v>45824</v>
      </c>
      <c r="F43" s="96"/>
      <c r="G43" s="88" t="str">
        <f>VLOOKUP(Table7910111213[[#This Row],[Februari]],'Clean Data HR'!$G$2:$H$102,2,0)</f>
        <v>PMT2506002</v>
      </c>
      <c r="H43" s="88" t="s">
        <v>524</v>
      </c>
      <c r="I43" s="97" t="s">
        <v>571</v>
      </c>
      <c r="J43" s="98" t="b">
        <f>Table7910111213[[#This Row],[Februari]]=Table7910111213[[#This Row],[Data HR]]</f>
        <v>1</v>
      </c>
      <c r="K43" s="112"/>
    </row>
    <row r="44" spans="1:11" ht="15.75" x14ac:dyDescent="0.25">
      <c r="A44" s="94" t="s">
        <v>51</v>
      </c>
      <c r="B44" s="94" t="str">
        <f t="shared" si="1"/>
        <v>ICI</v>
      </c>
      <c r="C44" s="100" t="s">
        <v>84</v>
      </c>
      <c r="D44" s="9" t="s">
        <v>572</v>
      </c>
      <c r="E44" s="96">
        <v>45817</v>
      </c>
      <c r="F44" s="96"/>
      <c r="G44" s="88" t="str">
        <f>VLOOKUP(Table7910111213[[#This Row],[Februari]],'Clean Data HR'!$G$2:$H$102,2,0)</f>
        <v>PMB2506001</v>
      </c>
      <c r="H44" s="88" t="s">
        <v>338</v>
      </c>
      <c r="I44" s="97" t="s">
        <v>572</v>
      </c>
      <c r="J44" s="98" t="b">
        <f>Table7910111213[[#This Row],[Februari]]=Table7910111213[[#This Row],[Data HR]]</f>
        <v>1</v>
      </c>
      <c r="K44" s="112"/>
    </row>
    <row r="45" spans="1:11" ht="15.75" x14ac:dyDescent="0.25">
      <c r="A45" s="94" t="str">
        <f t="shared" si="0"/>
        <v>Bogor</v>
      </c>
      <c r="B45" s="94" t="str">
        <f t="shared" si="1"/>
        <v>ICI</v>
      </c>
      <c r="C45" s="100" t="s">
        <v>86</v>
      </c>
      <c r="D45" s="9" t="s">
        <v>573</v>
      </c>
      <c r="E45" s="96">
        <v>45426</v>
      </c>
      <c r="F45" s="96"/>
      <c r="G45" s="88" t="str">
        <f>VLOOKUP(Table7910111213[[#This Row],[Februari]],'Clean Data HR'!$G$2:$H$102,2,0)</f>
        <v>PMB2405006</v>
      </c>
      <c r="H45" s="88" t="s">
        <v>346</v>
      </c>
      <c r="I45" s="97" t="s">
        <v>573</v>
      </c>
      <c r="J45" s="98" t="b">
        <f>Table7910111213[[#This Row],[Februari]]=Table7910111213[[#This Row],[Data HR]]</f>
        <v>1</v>
      </c>
      <c r="K45" s="112"/>
    </row>
    <row r="46" spans="1:11" ht="15.75" x14ac:dyDescent="0.25">
      <c r="A46" s="94" t="str">
        <f t="shared" si="0"/>
        <v>Bogor</v>
      </c>
      <c r="B46" s="94" t="str">
        <f t="shared" si="1"/>
        <v>ICI</v>
      </c>
      <c r="C46" s="100" t="s">
        <v>87</v>
      </c>
      <c r="D46" s="9" t="s">
        <v>574</v>
      </c>
      <c r="E46" s="96">
        <v>45616</v>
      </c>
      <c r="F46" s="96"/>
      <c r="G46" s="88" t="str">
        <f>VLOOKUP(Table7910111213[[#This Row],[Februari]],'Clean Data HR'!$G$2:$H$102,2,0)</f>
        <v>PMB2411002</v>
      </c>
      <c r="H46" s="88" t="s">
        <v>349</v>
      </c>
      <c r="I46" s="97" t="s">
        <v>574</v>
      </c>
      <c r="J46" s="98" t="b">
        <f>Table7910111213[[#This Row],[Februari]]=Table7910111213[[#This Row],[Data HR]]</f>
        <v>1</v>
      </c>
      <c r="K46" s="112"/>
    </row>
    <row r="47" spans="1:11" ht="15.75" x14ac:dyDescent="0.25">
      <c r="A47" s="94" t="str">
        <f t="shared" si="0"/>
        <v>Bogor</v>
      </c>
      <c r="B47" s="94" t="str">
        <f t="shared" si="1"/>
        <v>ICI</v>
      </c>
      <c r="C47" s="100" t="s">
        <v>88</v>
      </c>
      <c r="D47" s="9" t="s">
        <v>575</v>
      </c>
      <c r="E47" s="96">
        <v>44341</v>
      </c>
      <c r="F47" s="96"/>
      <c r="G47" s="88" t="str">
        <f>VLOOKUP(Table7910111213[[#This Row],[Februari]],'Clean Data HR'!$G$2:$H$102,2,0)</f>
        <v>PMB2105004</v>
      </c>
      <c r="H47" s="88">
        <v>8720710197</v>
      </c>
      <c r="I47" s="97" t="s">
        <v>575</v>
      </c>
      <c r="J47" s="98" t="b">
        <f>Table7910111213[[#This Row],[Februari]]=Table7910111213[[#This Row],[Data HR]]</f>
        <v>1</v>
      </c>
      <c r="K47" s="112"/>
    </row>
    <row r="48" spans="1:11" ht="15.75" x14ac:dyDescent="0.25">
      <c r="A48" s="94" t="str">
        <f t="shared" si="0"/>
        <v>Bogor</v>
      </c>
      <c r="B48" s="94" t="str">
        <f t="shared" si="1"/>
        <v>ICI</v>
      </c>
      <c r="C48" s="100" t="s">
        <v>89</v>
      </c>
      <c r="D48" s="9" t="s">
        <v>605</v>
      </c>
      <c r="E48" s="96">
        <v>43731</v>
      </c>
      <c r="F48" s="96"/>
      <c r="G48" s="88" t="str">
        <f>VLOOKUP(Table7910111213[[#This Row],[Februari]],'Clean Data HR'!$G$2:$H$102,2,0)</f>
        <v>PMB1909012</v>
      </c>
      <c r="H48" s="88">
        <v>3370017751</v>
      </c>
      <c r="I48" s="97" t="s">
        <v>605</v>
      </c>
      <c r="J48" s="98" t="b">
        <f>Table7910111213[[#This Row],[Februari]]=Table7910111213[[#This Row],[Data HR]]</f>
        <v>1</v>
      </c>
      <c r="K48" s="112"/>
    </row>
    <row r="49" spans="1:11" ht="15.75" x14ac:dyDescent="0.25">
      <c r="A49" s="94" t="str">
        <f t="shared" si="0"/>
        <v>Bogor</v>
      </c>
      <c r="B49" s="94" t="str">
        <f t="shared" si="1"/>
        <v>ICI</v>
      </c>
      <c r="C49" s="100" t="s">
        <v>90</v>
      </c>
      <c r="D49" s="9" t="s">
        <v>576</v>
      </c>
      <c r="E49" s="96">
        <v>0</v>
      </c>
      <c r="F49" s="96"/>
      <c r="G49" s="88" t="e">
        <f>VLOOKUP(Table7910111213[[#This Row],[Februari]],'Clean Data HR'!$G$2:$H$102,2,0)</f>
        <v>#N/A</v>
      </c>
      <c r="H49" s="88">
        <v>0</v>
      </c>
      <c r="I49" s="97" t="s">
        <v>634</v>
      </c>
      <c r="J49" s="98" t="b">
        <f>Table7910111213[[#This Row],[Februari]]=Table7910111213[[#This Row],[Data HR]]</f>
        <v>0</v>
      </c>
      <c r="K49" s="112"/>
    </row>
    <row r="50" spans="1:11" x14ac:dyDescent="0.25">
      <c r="A50" s="102" t="s">
        <v>51</v>
      </c>
      <c r="B50" s="102" t="str">
        <f>IF(LEFT(C50,2)="EL","Elektrik",IF(LEFT(C50,2)="PP","Pipa Pompa",IF(LEFT(C50,2)="IC","ICI",IF(LEFT(C50,2)="PI","Pipamas",""))))</f>
        <v>ICI</v>
      </c>
      <c r="C50" s="95" t="s">
        <v>91</v>
      </c>
      <c r="D50" s="88" t="s">
        <v>92</v>
      </c>
      <c r="E50" s="96">
        <v>45901</v>
      </c>
      <c r="F50" s="101"/>
      <c r="G50" s="88" t="str">
        <f>VLOOKUP(Table7910111213[[#This Row],[Februari]],'Clean Data HR'!$G$2:$H$102,2,0)</f>
        <v>PMD2509001</v>
      </c>
      <c r="H50" s="87" t="s">
        <v>94</v>
      </c>
      <c r="I50" s="97" t="s">
        <v>92</v>
      </c>
      <c r="J50" s="98" t="b">
        <f>Table7910111213[[#This Row],[Februari]]=Table7910111213[[#This Row],[Data HR]]</f>
        <v>1</v>
      </c>
      <c r="K50" s="112"/>
    </row>
    <row r="51" spans="1:11" ht="15.75" x14ac:dyDescent="0.25">
      <c r="A51" s="94" t="str">
        <f t="shared" si="0"/>
        <v>Bandung</v>
      </c>
      <c r="B51" s="94" t="str">
        <f t="shared" si="1"/>
        <v>Pipamas</v>
      </c>
      <c r="C51" s="100" t="s">
        <v>95</v>
      </c>
      <c r="D51" s="9" t="s">
        <v>96</v>
      </c>
      <c r="E51" s="96">
        <v>45896</v>
      </c>
      <c r="F51" s="96"/>
      <c r="G51" s="88" t="str">
        <f>VLOOKUP(Table7910111213[[#This Row],[Februari]],'Clean Data HR'!$G$2:$H$102,2,0)</f>
        <v>PMD2508010</v>
      </c>
      <c r="H51" s="88" t="s">
        <v>266</v>
      </c>
      <c r="I51" s="97" t="s">
        <v>96</v>
      </c>
      <c r="J51" s="98" t="b">
        <f>Table7910111213[[#This Row],[Februari]]=Table7910111213[[#This Row],[Data HR]]</f>
        <v>1</v>
      </c>
      <c r="K51" s="112"/>
    </row>
    <row r="52" spans="1:11" ht="15.75" x14ac:dyDescent="0.25">
      <c r="A52" s="94" t="str">
        <f t="shared" si="0"/>
        <v>Bandung</v>
      </c>
      <c r="B52" s="94" t="str">
        <f t="shared" si="1"/>
        <v>Pipamas</v>
      </c>
      <c r="C52" s="100" t="s">
        <v>97</v>
      </c>
      <c r="D52" s="9" t="s">
        <v>577</v>
      </c>
      <c r="E52" s="96">
        <v>45904</v>
      </c>
      <c r="F52" s="96"/>
      <c r="G52" s="88" t="str">
        <f>VLOOKUP(Table7910111213[[#This Row],[Februari]],'Clean Data HR'!$G$2:$H$102,2,0)</f>
        <v>PMD2509003</v>
      </c>
      <c r="H52" s="88" t="s">
        <v>269</v>
      </c>
      <c r="I52" s="97" t="s">
        <v>577</v>
      </c>
      <c r="J52" s="98" t="b">
        <f>Table7910111213[[#This Row],[Februari]]=Table7910111213[[#This Row],[Data HR]]</f>
        <v>1</v>
      </c>
      <c r="K52" s="112"/>
    </row>
    <row r="53" spans="1:11" ht="15.75" x14ac:dyDescent="0.25">
      <c r="A53" s="94" t="str">
        <f t="shared" si="0"/>
        <v>Bandung</v>
      </c>
      <c r="B53" s="94" t="str">
        <f t="shared" si="1"/>
        <v>Pipamas</v>
      </c>
      <c r="C53" s="100" t="s">
        <v>99</v>
      </c>
      <c r="D53" s="9" t="s">
        <v>576</v>
      </c>
      <c r="E53" s="96">
        <v>0</v>
      </c>
      <c r="F53" s="96"/>
      <c r="G53" s="88" t="e">
        <f>VLOOKUP(Table7910111213[[#This Row],[Februari]],'Clean Data HR'!$G$2:$H$102,2,0)</f>
        <v>#N/A</v>
      </c>
      <c r="H53" s="88">
        <v>0</v>
      </c>
      <c r="I53" s="97" t="s">
        <v>634</v>
      </c>
      <c r="J53" s="98" t="b">
        <f>Table7910111213[[#This Row],[Februari]]=Table7910111213[[#This Row],[Data HR]]</f>
        <v>0</v>
      </c>
      <c r="K53" s="112"/>
    </row>
    <row r="54" spans="1:11" ht="15.75" x14ac:dyDescent="0.25">
      <c r="A54" s="94" t="str">
        <f t="shared" si="0"/>
        <v>Bandung</v>
      </c>
      <c r="B54" s="94" t="str">
        <f t="shared" si="1"/>
        <v>Pipamas</v>
      </c>
      <c r="C54" s="100" t="s">
        <v>100</v>
      </c>
      <c r="D54" s="9" t="s">
        <v>578</v>
      </c>
      <c r="E54" s="96" t="s">
        <v>628</v>
      </c>
      <c r="F54" s="96"/>
      <c r="G54" s="88" t="str">
        <f>VLOOKUP(Table7910111213[[#This Row],[Februari]],'Clean Data HR'!$G$2:$H$102,2,0)</f>
        <v>PMD2503004</v>
      </c>
      <c r="H54" s="114">
        <v>1560108695</v>
      </c>
      <c r="I54" s="9" t="s">
        <v>578</v>
      </c>
      <c r="J54" s="98" t="b">
        <f>Table7910111213[[#This Row],[Februari]]=Table7910111213[[#This Row],[Data HR]]</f>
        <v>1</v>
      </c>
      <c r="K54" s="112"/>
    </row>
    <row r="55" spans="1:11" ht="15.75" x14ac:dyDescent="0.25">
      <c r="A55" s="94" t="str">
        <f t="shared" si="0"/>
        <v>Bandung</v>
      </c>
      <c r="B55" s="94" t="str">
        <f t="shared" si="1"/>
        <v>Pipamas</v>
      </c>
      <c r="C55" s="100" t="s">
        <v>101</v>
      </c>
      <c r="D55" s="9" t="s">
        <v>576</v>
      </c>
      <c r="E55" s="96">
        <v>0</v>
      </c>
      <c r="F55" s="96"/>
      <c r="G55" s="88" t="e">
        <f>VLOOKUP(Table7910111213[[#This Row],[Februari]],'Clean Data HR'!$G$2:$H$102,2,0)</f>
        <v>#N/A</v>
      </c>
      <c r="H55" s="88">
        <v>0</v>
      </c>
      <c r="I55" s="97" t="s">
        <v>634</v>
      </c>
      <c r="J55" s="98" t="b">
        <f>Table7910111213[[#This Row],[Februari]]=Table7910111213[[#This Row],[Data HR]]</f>
        <v>0</v>
      </c>
      <c r="K55" s="112"/>
    </row>
    <row r="56" spans="1:11" ht="15.75" x14ac:dyDescent="0.25">
      <c r="A56" s="94" t="str">
        <f t="shared" si="0"/>
        <v>Bandung</v>
      </c>
      <c r="B56" s="94" t="str">
        <f t="shared" si="1"/>
        <v>Pipamas</v>
      </c>
      <c r="C56" s="100" t="s">
        <v>102</v>
      </c>
      <c r="D56" s="9" t="s">
        <v>601</v>
      </c>
      <c r="E56" s="96">
        <v>45727</v>
      </c>
      <c r="F56" s="96"/>
      <c r="G56" s="88" t="str">
        <f>VLOOKUP(Table7910111213[[#This Row],[Februari]],'Clean Data HR'!$G$2:$H$102,2,0)</f>
        <v>PMD2503003</v>
      </c>
      <c r="H56" s="88" t="s">
        <v>254</v>
      </c>
      <c r="I56" s="97" t="s">
        <v>601</v>
      </c>
      <c r="J56" s="98" t="b">
        <f>Table7910111213[[#This Row],[Februari]]=Table7910111213[[#This Row],[Data HR]]</f>
        <v>1</v>
      </c>
      <c r="K56" s="112"/>
    </row>
    <row r="57" spans="1:11" x14ac:dyDescent="0.25">
      <c r="A57" s="94" t="str">
        <f t="shared" si="0"/>
        <v>Bandung</v>
      </c>
      <c r="B57" s="94" t="str">
        <f t="shared" si="1"/>
        <v>Pipamas</v>
      </c>
      <c r="C57" s="95" t="s">
        <v>103</v>
      </c>
      <c r="D57" s="9" t="s">
        <v>579</v>
      </c>
      <c r="E57" s="96">
        <v>44858</v>
      </c>
      <c r="F57" s="96"/>
      <c r="G57" s="88" t="str">
        <f>VLOOKUP(Table7910111213[[#This Row],[Februari]],'Clean Data HR'!$G$2:$H$102,2,0)</f>
        <v>PMD2210008</v>
      </c>
      <c r="H57" s="88" t="s">
        <v>252</v>
      </c>
      <c r="I57" s="97" t="s">
        <v>579</v>
      </c>
      <c r="J57" s="98" t="b">
        <f>Table7910111213[[#This Row],[Februari]]=Table7910111213[[#This Row],[Data HR]]</f>
        <v>1</v>
      </c>
      <c r="K57" s="112"/>
    </row>
    <row r="58" spans="1:11" x14ac:dyDescent="0.25">
      <c r="A58" s="94" t="str">
        <f t="shared" si="0"/>
        <v>Bandung</v>
      </c>
      <c r="B58" s="94" t="str">
        <f t="shared" si="1"/>
        <v>Pipamas</v>
      </c>
      <c r="C58" s="95" t="s">
        <v>105</v>
      </c>
      <c r="D58" s="9" t="s">
        <v>580</v>
      </c>
      <c r="E58" s="96">
        <v>45792</v>
      </c>
      <c r="F58" s="96"/>
      <c r="G58" s="88" t="str">
        <f>VLOOKUP(Table7910111213[[#This Row],[Februari]],'Clean Data HR'!$G$2:$H$102,2,0)</f>
        <v>PMD2109007</v>
      </c>
      <c r="H58" s="88">
        <v>2831290783</v>
      </c>
      <c r="I58" s="97" t="s">
        <v>580</v>
      </c>
      <c r="J58" s="98" t="b">
        <f>Table7910111213[[#This Row],[Februari]]=Table7910111213[[#This Row],[Data HR]]</f>
        <v>1</v>
      </c>
      <c r="K58" s="112"/>
    </row>
    <row r="59" spans="1:11" x14ac:dyDescent="0.25">
      <c r="A59" s="94" t="str">
        <f t="shared" si="0"/>
        <v>Bandung</v>
      </c>
      <c r="B59" s="94" t="str">
        <f t="shared" si="1"/>
        <v>Pipamas</v>
      </c>
      <c r="C59" s="95" t="s">
        <v>107</v>
      </c>
      <c r="D59" s="9" t="s">
        <v>108</v>
      </c>
      <c r="E59" s="96">
        <v>45887</v>
      </c>
      <c r="F59" s="96"/>
      <c r="G59" s="88" t="str">
        <f>VLOOKUP(Table7910111213[[#This Row],[Februari]],'Clean Data HR'!$G$2:$H$102,2,0)</f>
        <v>PMD2508004</v>
      </c>
      <c r="H59" s="88" t="s">
        <v>263</v>
      </c>
      <c r="I59" s="97" t="s">
        <v>108</v>
      </c>
      <c r="J59" s="98" t="b">
        <f>Table7910111213[[#This Row],[Februari]]=Table7910111213[[#This Row],[Data HR]]</f>
        <v>1</v>
      </c>
      <c r="K59" s="112"/>
    </row>
    <row r="60" spans="1:11" x14ac:dyDescent="0.25">
      <c r="A60" s="94" t="s">
        <v>109</v>
      </c>
      <c r="B60" s="94" t="str">
        <f t="shared" si="1"/>
        <v>Pipamas</v>
      </c>
      <c r="C60" s="95" t="s">
        <v>110</v>
      </c>
      <c r="D60" s="9" t="s">
        <v>602</v>
      </c>
      <c r="E60" s="96">
        <v>45792</v>
      </c>
      <c r="F60" s="96"/>
      <c r="G60" s="88" t="str">
        <f>VLOOKUP(Table7910111213[[#This Row],[Februari]],'Clean Data HR'!$G$2:$H$102,2,0)</f>
        <v>PMD2505002</v>
      </c>
      <c r="H60" s="88" t="s">
        <v>260</v>
      </c>
      <c r="I60" s="97" t="s">
        <v>602</v>
      </c>
      <c r="J60" s="98" t="b">
        <f>Table7910111213[[#This Row],[Februari]]=Table7910111213[[#This Row],[Data HR]]</f>
        <v>1</v>
      </c>
      <c r="K60" s="112"/>
    </row>
    <row r="61" spans="1:11" x14ac:dyDescent="0.25">
      <c r="A61" s="94" t="s">
        <v>109</v>
      </c>
      <c r="B61" s="94" t="str">
        <f t="shared" si="1"/>
        <v>Pipamas</v>
      </c>
      <c r="C61" s="95" t="s">
        <v>111</v>
      </c>
      <c r="D61" s="104" t="s">
        <v>581</v>
      </c>
      <c r="E61" s="96">
        <v>45996</v>
      </c>
      <c r="F61" s="101"/>
      <c r="G61" s="8" t="str">
        <f>VLOOKUP(Table7910111213[[#This Row],[Februari]],'Clean Data HR'!$G$2:$H$102,2,0)</f>
        <v>PMD2512003</v>
      </c>
      <c r="H61" s="87" t="s">
        <v>114</v>
      </c>
      <c r="I61" s="97" t="s">
        <v>581</v>
      </c>
      <c r="J61" s="98" t="b">
        <f>Table7910111213[[#This Row],[Februari]]=Table7910111213[[#This Row],[Data HR]]</f>
        <v>1</v>
      </c>
      <c r="K61" s="112"/>
    </row>
    <row r="62" spans="1:11" x14ac:dyDescent="0.25">
      <c r="A62" s="102" t="str">
        <f>IF(LEFT(RIGHT(C62,2),1)="0","Bandung",IF(LEFT(RIGHT(C62,2),1)="2","PCK",IF(LEFT(RIGHT(C62,2),1)="6","Cirebon",IF(LEFT(RIGHT(C62,2),1)="7","Tasik",IF(LEFT(RIGHT(C62,2),1)="8","Bogor","")))))</f>
        <v>Bandung</v>
      </c>
      <c r="B62" s="102" t="str">
        <f>IF(LEFT(C62,2)="EL","Elektrik",IF(LEFT(C62,2)="PP","Pipa Pompa",IF(LEFT(C62,2)="IC","ICI",IF(LEFT(C62,2)="PI","Pipamas",""))))</f>
        <v>Pipamas</v>
      </c>
      <c r="C62" s="95" t="s">
        <v>115</v>
      </c>
      <c r="D62" s="88" t="s">
        <v>116</v>
      </c>
      <c r="E62" s="96">
        <v>45169</v>
      </c>
      <c r="F62" s="101"/>
      <c r="G62" s="8" t="str">
        <f>VLOOKUP(Table7910111213[[#This Row],[Februari]],'Clean Data HR'!$G$2:$H$102,2,0)</f>
        <v>PMD2207003</v>
      </c>
      <c r="H62" s="87" t="s">
        <v>117</v>
      </c>
      <c r="I62" s="88" t="s">
        <v>116</v>
      </c>
      <c r="J62" s="98" t="b">
        <f>Table7910111213[[#This Row],[Februari]]=Table7910111213[[#This Row],[Data HR]]</f>
        <v>1</v>
      </c>
      <c r="K62" s="112"/>
    </row>
    <row r="63" spans="1:11" x14ac:dyDescent="0.25">
      <c r="A63" s="94" t="s">
        <v>109</v>
      </c>
      <c r="B63" s="94" t="str">
        <f t="shared" si="1"/>
        <v>Pipamas</v>
      </c>
      <c r="C63" s="95" t="s">
        <v>118</v>
      </c>
      <c r="D63" s="95" t="s">
        <v>119</v>
      </c>
      <c r="E63" s="96">
        <v>46000</v>
      </c>
      <c r="F63" s="96"/>
      <c r="G63" s="88" t="str">
        <f>VLOOKUP(Table7910111213[[#This Row],[Februari]],'Clean Data HR'!$G$2:$H$102,2,0)</f>
        <v>PMD2512006</v>
      </c>
      <c r="H63" s="88" t="s">
        <v>630</v>
      </c>
      <c r="I63" s="97" t="s">
        <v>119</v>
      </c>
      <c r="J63" s="98" t="b">
        <f>Table7910111213[[#This Row],[Februari]]=Table7910111213[[#This Row],[Data HR]]</f>
        <v>1</v>
      </c>
      <c r="K63" s="112"/>
    </row>
    <row r="64" spans="1:11" ht="15.75" x14ac:dyDescent="0.25">
      <c r="A64" s="94" t="str">
        <f t="shared" ref="A64:A103" si="2">IF(LEFT(RIGHT(C64,2),1)="0","Bandung",IF(LEFT(RIGHT(C64,2),1)="2","PCK",IF(LEFT(RIGHT(C64,2),1)="6","Cirebon",IF(LEFT(RIGHT(C64,2),1)="7","Tasik",IF(LEFT(RIGHT(C64,2),1)="8","Bogor","")))))</f>
        <v>PCK</v>
      </c>
      <c r="B64" s="94" t="str">
        <f t="shared" si="1"/>
        <v>Pipamas</v>
      </c>
      <c r="C64" s="100" t="s">
        <v>120</v>
      </c>
      <c r="D64" s="95" t="s">
        <v>582</v>
      </c>
      <c r="E64" s="96">
        <v>45104</v>
      </c>
      <c r="F64" s="96"/>
      <c r="G64" s="88" t="str">
        <f>VLOOKUP(Table7910111213[[#This Row],[Februari]],'Clean Data HR'!$G$2:$H$102,2,0)</f>
        <v>PMK2306002</v>
      </c>
      <c r="H64" s="88" t="s">
        <v>403</v>
      </c>
      <c r="I64" s="97" t="s">
        <v>582</v>
      </c>
      <c r="J64" s="98" t="b">
        <f>Table7910111213[[#This Row],[Februari]]=Table7910111213[[#This Row],[Data HR]]</f>
        <v>1</v>
      </c>
      <c r="K64" s="112"/>
    </row>
    <row r="65" spans="1:11" x14ac:dyDescent="0.25">
      <c r="A65" s="94" t="str">
        <f t="shared" si="2"/>
        <v>Cirebon</v>
      </c>
      <c r="B65" s="94" t="str">
        <f t="shared" si="1"/>
        <v>Pipamas</v>
      </c>
      <c r="C65" s="95" t="s">
        <v>122</v>
      </c>
      <c r="D65" s="95" t="s">
        <v>124</v>
      </c>
      <c r="E65" s="96">
        <v>45841</v>
      </c>
      <c r="F65" s="96"/>
      <c r="G65" s="88" t="str">
        <f>VLOOKUP(Table7910111213[[#This Row],[Februari]],'Clean Data HR'!$G$2:$H$102,2,0)</f>
        <v>PMC2507001</v>
      </c>
      <c r="H65" s="88" t="s">
        <v>444</v>
      </c>
      <c r="I65" s="97" t="s">
        <v>124</v>
      </c>
      <c r="J65" s="98" t="b">
        <f>Table7910111213[[#This Row],[Februari]]=Table7910111213[[#This Row],[Data HR]]</f>
        <v>1</v>
      </c>
      <c r="K65" s="112"/>
    </row>
    <row r="66" spans="1:11" x14ac:dyDescent="0.25">
      <c r="A66" s="94" t="str">
        <f t="shared" si="2"/>
        <v>Cirebon</v>
      </c>
      <c r="B66" s="94" t="str">
        <f t="shared" si="1"/>
        <v>Pipamas</v>
      </c>
      <c r="C66" s="95" t="s">
        <v>125</v>
      </c>
      <c r="D66" s="95" t="s">
        <v>127</v>
      </c>
      <c r="E66" s="96">
        <v>45824</v>
      </c>
      <c r="F66" s="96"/>
      <c r="G66" s="88" t="str">
        <f>VLOOKUP(Table7910111213[[#This Row],[Februari]],'Clean Data HR'!$G$2:$H$102,2,0)</f>
        <v>PMC2506002</v>
      </c>
      <c r="H66" s="88" t="s">
        <v>441</v>
      </c>
      <c r="I66" s="97" t="s">
        <v>127</v>
      </c>
      <c r="J66" s="98" t="b">
        <f>Table7910111213[[#This Row],[Februari]]=Table7910111213[[#This Row],[Data HR]]</f>
        <v>1</v>
      </c>
      <c r="K66" s="112"/>
    </row>
    <row r="67" spans="1:11" x14ac:dyDescent="0.25">
      <c r="A67" s="94" t="str">
        <f t="shared" si="2"/>
        <v>Cirebon</v>
      </c>
      <c r="B67" s="94" t="str">
        <f t="shared" si="1"/>
        <v>Pipamas</v>
      </c>
      <c r="C67" s="95" t="s">
        <v>128</v>
      </c>
      <c r="D67" s="95" t="s">
        <v>130</v>
      </c>
      <c r="E67" s="96">
        <v>45873</v>
      </c>
      <c r="F67" s="96"/>
      <c r="G67" s="88" t="str">
        <f>VLOOKUP(Table7910111213[[#This Row],[Februari]],'Clean Data HR'!$G$2:$H$102,2,0)</f>
        <v>PMC2508001</v>
      </c>
      <c r="H67" s="88" t="s">
        <v>446</v>
      </c>
      <c r="I67" s="95" t="s">
        <v>130</v>
      </c>
      <c r="J67" s="98" t="b">
        <f>Table7910111213[[#This Row],[Februari]]=Table7910111213[[#This Row],[Data HR]]</f>
        <v>1</v>
      </c>
      <c r="K67" s="112"/>
    </row>
    <row r="68" spans="1:11" x14ac:dyDescent="0.25">
      <c r="A68" s="94" t="str">
        <f t="shared" si="2"/>
        <v>Tasik</v>
      </c>
      <c r="B68" s="94" t="str">
        <f t="shared" si="1"/>
        <v>Pipamas</v>
      </c>
      <c r="C68" s="95" t="s">
        <v>131</v>
      </c>
      <c r="D68" s="88" t="s">
        <v>583</v>
      </c>
      <c r="E68" s="96">
        <v>44835</v>
      </c>
      <c r="F68" s="96"/>
      <c r="G68" s="88" t="str">
        <f>VLOOKUP(Table7910111213[[#This Row],[Februari]],'Clean Data HR'!$G$2:$H$102,2,0)</f>
        <v>PMT2209002</v>
      </c>
      <c r="H68" s="88">
        <v>2030529947</v>
      </c>
      <c r="I68" s="97" t="s">
        <v>583</v>
      </c>
      <c r="J68" s="98" t="b">
        <f>Table7910111213[[#This Row],[Februari]]=Table7910111213[[#This Row],[Data HR]]</f>
        <v>1</v>
      </c>
      <c r="K68" s="112"/>
    </row>
    <row r="69" spans="1:11" x14ac:dyDescent="0.25">
      <c r="A69" s="94" t="str">
        <f t="shared" si="2"/>
        <v>Tasik</v>
      </c>
      <c r="B69" s="94" t="str">
        <f t="shared" si="1"/>
        <v>Pipamas</v>
      </c>
      <c r="C69" s="95" t="s">
        <v>133</v>
      </c>
      <c r="D69" s="88" t="s">
        <v>584</v>
      </c>
      <c r="E69" s="96">
        <v>46064</v>
      </c>
      <c r="F69" s="96"/>
      <c r="G69" s="88" t="str">
        <f>VLOOKUP(Table7910111213[[#This Row],[Februari]],'Clean Data HR'!$G$2:$H$102,2,0)</f>
        <v>PMD2602006</v>
      </c>
      <c r="H69" s="88" t="s">
        <v>136</v>
      </c>
      <c r="I69" s="97" t="s">
        <v>584</v>
      </c>
      <c r="J69" s="98" t="b">
        <f>Table7910111213[[#This Row],[Februari]]=Table7910111213[[#This Row],[Data HR]]</f>
        <v>1</v>
      </c>
      <c r="K69" s="95" t="s">
        <v>642</v>
      </c>
    </row>
    <row r="70" spans="1:11" x14ac:dyDescent="0.25">
      <c r="A70" s="94" t="str">
        <f t="shared" si="2"/>
        <v>Tasik</v>
      </c>
      <c r="B70" s="94" t="str">
        <f t="shared" si="1"/>
        <v>Pipamas</v>
      </c>
      <c r="C70" s="95" t="s">
        <v>137</v>
      </c>
      <c r="D70" s="95" t="s">
        <v>611</v>
      </c>
      <c r="E70" s="96">
        <v>45803</v>
      </c>
      <c r="F70" s="96"/>
      <c r="G70" s="88" t="str">
        <f>VLOOKUP(Table7910111213[[#This Row],[Februari]],'Clean Data HR'!$G$2:$H$102,2,0)</f>
        <v>PMT2505001</v>
      </c>
      <c r="H70" s="88" t="s">
        <v>472</v>
      </c>
      <c r="I70" s="97" t="s">
        <v>611</v>
      </c>
      <c r="J70" s="98" t="b">
        <f>Table7910111213[[#This Row],[Februari]]=Table7910111213[[#This Row],[Data HR]]</f>
        <v>1</v>
      </c>
      <c r="K70" s="112"/>
    </row>
    <row r="71" spans="1:11" x14ac:dyDescent="0.25">
      <c r="A71" s="94" t="str">
        <f t="shared" si="2"/>
        <v>Tasik</v>
      </c>
      <c r="B71" s="94" t="str">
        <f t="shared" si="1"/>
        <v>Pipamas</v>
      </c>
      <c r="C71" s="95" t="s">
        <v>138</v>
      </c>
      <c r="D71" s="88" t="s">
        <v>139</v>
      </c>
      <c r="E71" s="96">
        <v>46069</v>
      </c>
      <c r="F71" s="96"/>
      <c r="G71" s="88" t="str">
        <f>VLOOKUP(Table7910111213[[#This Row],[Februari]],'Clean Data HR'!$G$2:$H$102,2,0)</f>
        <v>PMD2602009</v>
      </c>
      <c r="H71" s="88" t="s">
        <v>141</v>
      </c>
      <c r="I71" s="97" t="s">
        <v>139</v>
      </c>
      <c r="J71" s="98" t="b">
        <f>Table7910111213[[#This Row],[Februari]]=Table7910111213[[#This Row],[Data HR]]</f>
        <v>1</v>
      </c>
      <c r="K71" s="112"/>
    </row>
    <row r="72" spans="1:11" x14ac:dyDescent="0.25">
      <c r="A72" s="94" t="str">
        <f t="shared" si="2"/>
        <v>Tasik</v>
      </c>
      <c r="B72" s="94" t="str">
        <f t="shared" si="1"/>
        <v>Pipamas</v>
      </c>
      <c r="C72" s="95" t="s">
        <v>142</v>
      </c>
      <c r="D72" s="88" t="s">
        <v>576</v>
      </c>
      <c r="E72" s="96">
        <v>0</v>
      </c>
      <c r="F72" s="96"/>
      <c r="G72" s="88" t="e">
        <f>VLOOKUP(Table7910111213[[#This Row],[Februari]],'Clean Data HR'!$G$2:$H$102,2,0)</f>
        <v>#N/A</v>
      </c>
      <c r="H72" s="88">
        <v>0</v>
      </c>
      <c r="I72" s="97" t="s">
        <v>634</v>
      </c>
      <c r="J72" s="98" t="b">
        <f>Table7910111213[[#This Row],[Februari]]=Table7910111213[[#This Row],[Data HR]]</f>
        <v>0</v>
      </c>
      <c r="K72" s="112"/>
    </row>
    <row r="73" spans="1:11" x14ac:dyDescent="0.25">
      <c r="A73" s="94" t="str">
        <f t="shared" si="2"/>
        <v>Bogor</v>
      </c>
      <c r="B73" s="94" t="str">
        <f t="shared" si="1"/>
        <v>Pipamas</v>
      </c>
      <c r="C73" s="95" t="s">
        <v>143</v>
      </c>
      <c r="D73" s="88" t="s">
        <v>585</v>
      </c>
      <c r="E73" s="96">
        <v>44496</v>
      </c>
      <c r="F73" s="96"/>
      <c r="G73" s="88" t="str">
        <f>VLOOKUP(Table7910111213[[#This Row],[Februari]],'Clean Data HR'!$G$2:$H$102,2,0)</f>
        <v>PMB2110006</v>
      </c>
      <c r="H73" s="88">
        <v>8691144780</v>
      </c>
      <c r="I73" s="97" t="s">
        <v>585</v>
      </c>
      <c r="J73" s="98" t="b">
        <f>Table7910111213[[#This Row],[Februari]]=Table7910111213[[#This Row],[Data HR]]</f>
        <v>1</v>
      </c>
      <c r="K73" s="112"/>
    </row>
    <row r="74" spans="1:11" x14ac:dyDescent="0.25">
      <c r="A74" s="94" t="str">
        <f t="shared" si="2"/>
        <v>Bogor</v>
      </c>
      <c r="B74" s="94" t="str">
        <f t="shared" si="1"/>
        <v>Pipamas</v>
      </c>
      <c r="C74" s="95" t="s">
        <v>145</v>
      </c>
      <c r="D74" s="105" t="s">
        <v>586</v>
      </c>
      <c r="E74" s="96" t="s">
        <v>628</v>
      </c>
      <c r="F74" s="96"/>
      <c r="G74" s="88" t="str">
        <f>VLOOKUP(Table7910111213[[#This Row],[Februari]],'Clean Data HR'!$G$2:$H$102,2,0)</f>
        <v>PMD2512012</v>
      </c>
      <c r="H74" s="88" t="s">
        <v>629</v>
      </c>
      <c r="I74" s="104" t="s">
        <v>146</v>
      </c>
      <c r="J74" s="98" t="b">
        <f>Table7910111213[[#This Row],[Februari]]=Table7910111213[[#This Row],[Data HR]]</f>
        <v>1</v>
      </c>
      <c r="K74" s="112"/>
    </row>
    <row r="75" spans="1:11" x14ac:dyDescent="0.25">
      <c r="A75" s="94" t="str">
        <f t="shared" si="2"/>
        <v>Bogor</v>
      </c>
      <c r="B75" s="94" t="str">
        <f t="shared" si="1"/>
        <v>Pipamas</v>
      </c>
      <c r="C75" s="95" t="s">
        <v>147</v>
      </c>
      <c r="D75" s="88" t="s">
        <v>587</v>
      </c>
      <c r="E75" s="96">
        <v>44903</v>
      </c>
      <c r="F75" s="96"/>
      <c r="G75" s="88" t="str">
        <f>VLOOKUP(Table7910111213[[#This Row],[Februari]],'Clean Data HR'!$G$2:$H$102,2,0)</f>
        <v>PMB2212003</v>
      </c>
      <c r="H75" s="88" t="s">
        <v>388</v>
      </c>
      <c r="I75" s="97" t="s">
        <v>587</v>
      </c>
      <c r="J75" s="98" t="b">
        <f>Table7910111213[[#This Row],[Februari]]=Table7910111213[[#This Row],[Data HR]]</f>
        <v>1</v>
      </c>
      <c r="K75" s="112"/>
    </row>
    <row r="76" spans="1:11" x14ac:dyDescent="0.25">
      <c r="A76" s="94" t="str">
        <f t="shared" si="2"/>
        <v>Bogor</v>
      </c>
      <c r="B76" s="94" t="str">
        <f t="shared" si="1"/>
        <v>Pipamas</v>
      </c>
      <c r="C76" s="95" t="s">
        <v>149</v>
      </c>
      <c r="D76" s="88" t="s">
        <v>588</v>
      </c>
      <c r="E76" s="96">
        <v>45944</v>
      </c>
      <c r="F76" s="96"/>
      <c r="G76" s="88" t="str">
        <f>VLOOKUP(Table7910111213[[#This Row],[Februari]],'Clean Data HR'!$G$2:$H$102,2,0)</f>
        <v>PMD2510002</v>
      </c>
      <c r="H76" s="88" t="s">
        <v>390</v>
      </c>
      <c r="I76" s="97" t="s">
        <v>588</v>
      </c>
      <c r="J76" s="98" t="b">
        <f>Table7910111213[[#This Row],[Februari]]=Table7910111213[[#This Row],[Data HR]]</f>
        <v>1</v>
      </c>
      <c r="K76" s="112"/>
    </row>
    <row r="77" spans="1:11" x14ac:dyDescent="0.25">
      <c r="A77" s="94" t="str">
        <f t="shared" si="2"/>
        <v>Bogor</v>
      </c>
      <c r="B77" s="94" t="str">
        <f t="shared" ref="B77:B105" si="3">IF(LEFT(C77,2)="EL","Elektrik",IF(LEFT(C77,2)="PP","Pipa Pompa",IF(LEFT(C77,2)="IC","ICI",IF(LEFT(C77,2)="PI","Pipamas",""))))</f>
        <v>Pipamas</v>
      </c>
      <c r="C77" s="95" t="s">
        <v>151</v>
      </c>
      <c r="D77" s="88" t="s">
        <v>576</v>
      </c>
      <c r="E77" s="96">
        <v>0</v>
      </c>
      <c r="F77" s="96"/>
      <c r="G77" s="88" t="e">
        <f>VLOOKUP(Table7910111213[[#This Row],[Februari]],'Clean Data HR'!$G$2:$H$102,2,0)</f>
        <v>#N/A</v>
      </c>
      <c r="H77" s="88">
        <v>0</v>
      </c>
      <c r="I77" s="97" t="s">
        <v>634</v>
      </c>
      <c r="J77" s="98" t="b">
        <f>Table7910111213[[#This Row],[Februari]]=Table7910111213[[#This Row],[Data HR]]</f>
        <v>0</v>
      </c>
      <c r="K77" s="112"/>
    </row>
    <row r="78" spans="1:11" x14ac:dyDescent="0.25">
      <c r="A78" s="94" t="str">
        <f t="shared" si="2"/>
        <v>Bandung</v>
      </c>
      <c r="B78" s="94" t="str">
        <f t="shared" si="3"/>
        <v>Pipa Pompa</v>
      </c>
      <c r="C78" s="95" t="s">
        <v>152</v>
      </c>
      <c r="D78" s="9" t="s">
        <v>589</v>
      </c>
      <c r="E78" s="96">
        <v>45334</v>
      </c>
      <c r="F78" s="96"/>
      <c r="G78" s="88" t="str">
        <f>VLOOKUP(Table7910111213[[#This Row],[Februari]],'Clean Data HR'!$G$2:$H$102,2,0)</f>
        <v>PMD2402001</v>
      </c>
      <c r="H78" s="88" t="s">
        <v>298</v>
      </c>
      <c r="I78" s="97" t="s">
        <v>589</v>
      </c>
      <c r="J78" s="98" t="b">
        <f>Table7910111213[[#This Row],[Februari]]=Table7910111213[[#This Row],[Data HR]]</f>
        <v>1</v>
      </c>
      <c r="K78" s="112"/>
    </row>
    <row r="79" spans="1:11" ht="15.75" x14ac:dyDescent="0.25">
      <c r="A79" s="94" t="str">
        <f t="shared" si="2"/>
        <v>Bandung</v>
      </c>
      <c r="B79" s="94" t="str">
        <f t="shared" si="3"/>
        <v>Pipa Pompa</v>
      </c>
      <c r="C79" s="100" t="s">
        <v>154</v>
      </c>
      <c r="D79" s="9" t="s">
        <v>155</v>
      </c>
      <c r="E79" s="96">
        <v>45978</v>
      </c>
      <c r="F79" s="96"/>
      <c r="G79" s="88" t="str">
        <f>VLOOKUP(Table7910111213[[#This Row],[Februari]],'Clean Data HR'!$G$2:$H$102,2,0)</f>
        <v>PMD2511002</v>
      </c>
      <c r="H79" s="88" t="s">
        <v>310</v>
      </c>
      <c r="I79" s="97" t="s">
        <v>155</v>
      </c>
      <c r="J79" s="98" t="b">
        <f>Table7910111213[[#This Row],[Februari]]=Table7910111213[[#This Row],[Data HR]]</f>
        <v>1</v>
      </c>
      <c r="K79" s="112"/>
    </row>
    <row r="80" spans="1:11" ht="15.75" x14ac:dyDescent="0.25">
      <c r="A80" s="94" t="str">
        <f t="shared" si="2"/>
        <v>Bandung</v>
      </c>
      <c r="B80" s="94" t="str">
        <f t="shared" si="3"/>
        <v>Pipa Pompa</v>
      </c>
      <c r="C80" s="100" t="s">
        <v>156</v>
      </c>
      <c r="D80" s="9" t="s">
        <v>576</v>
      </c>
      <c r="E80" s="96">
        <v>0</v>
      </c>
      <c r="F80" s="96"/>
      <c r="G80" s="88" t="e">
        <f>VLOOKUP(Table7910111213[[#This Row],[Februari]],'Clean Data HR'!$G$2:$H$102,2,0)</f>
        <v>#N/A</v>
      </c>
      <c r="H80" s="88">
        <v>0</v>
      </c>
      <c r="I80" s="97" t="s">
        <v>634</v>
      </c>
      <c r="J80" s="98" t="b">
        <f>Table7910111213[[#This Row],[Februari]]=Table7910111213[[#This Row],[Data HR]]</f>
        <v>0</v>
      </c>
      <c r="K80" s="112"/>
    </row>
    <row r="81" spans="1:11" ht="15.75" x14ac:dyDescent="0.25">
      <c r="A81" s="94" t="str">
        <f t="shared" si="2"/>
        <v>Bandung</v>
      </c>
      <c r="B81" s="94" t="str">
        <f t="shared" si="3"/>
        <v>Pipa Pompa</v>
      </c>
      <c r="C81" s="100" t="s">
        <v>157</v>
      </c>
      <c r="D81" s="9" t="s">
        <v>590</v>
      </c>
      <c r="E81" s="96">
        <v>45481</v>
      </c>
      <c r="F81" s="96"/>
      <c r="G81" s="88" t="str">
        <f>VLOOKUP(Table7910111213[[#This Row],[Februari]],'Clean Data HR'!$G$2:$H$102,2,0)</f>
        <v>PMD2407002</v>
      </c>
      <c r="H81" s="88" t="s">
        <v>301</v>
      </c>
      <c r="I81" s="97" t="s">
        <v>590</v>
      </c>
      <c r="J81" s="98" t="b">
        <f>Table7910111213[[#This Row],[Februari]]=Table7910111213[[#This Row],[Data HR]]</f>
        <v>1</v>
      </c>
      <c r="K81" s="112"/>
    </row>
    <row r="82" spans="1:11" ht="15.75" x14ac:dyDescent="0.25">
      <c r="A82" s="94" t="str">
        <f t="shared" si="2"/>
        <v>Bandung</v>
      </c>
      <c r="B82" s="94" t="str">
        <f t="shared" si="3"/>
        <v>Pipa Pompa</v>
      </c>
      <c r="C82" s="100" t="s">
        <v>159</v>
      </c>
      <c r="D82" s="106" t="s">
        <v>604</v>
      </c>
      <c r="E82" s="96">
        <v>45894</v>
      </c>
      <c r="F82" s="96"/>
      <c r="G82" s="88" t="str">
        <f>VLOOKUP(Table7910111213[[#This Row],[Februari]],'Clean Data HR'!$G$2:$H$102,2,0)</f>
        <v>PMD2107003</v>
      </c>
      <c r="H82" s="88">
        <v>2830811802</v>
      </c>
      <c r="I82" s="97" t="s">
        <v>604</v>
      </c>
      <c r="J82" s="98" t="b">
        <f>Table7910111213[[#This Row],[Februari]]=Table7910111213[[#This Row],[Data HR]]</f>
        <v>1</v>
      </c>
      <c r="K82" s="112"/>
    </row>
    <row r="83" spans="1:11" ht="15.75" x14ac:dyDescent="0.25">
      <c r="A83" s="94" t="str">
        <f t="shared" si="2"/>
        <v>Bandung</v>
      </c>
      <c r="B83" s="94" t="str">
        <f t="shared" si="3"/>
        <v>Pipa Pompa</v>
      </c>
      <c r="C83" s="100" t="s">
        <v>160</v>
      </c>
      <c r="D83" s="9" t="s">
        <v>591</v>
      </c>
      <c r="E83" s="96">
        <v>45713</v>
      </c>
      <c r="F83" s="96"/>
      <c r="G83" s="88" t="str">
        <f>VLOOKUP(Table7910111213[[#This Row],[Februari]],'Clean Data HR'!$G$2:$H$102,2,0)</f>
        <v>PMD2502005</v>
      </c>
      <c r="H83" s="88" t="s">
        <v>303</v>
      </c>
      <c r="I83" s="97" t="s">
        <v>591</v>
      </c>
      <c r="J83" s="98" t="b">
        <f>Table7910111213[[#This Row],[Februari]]=Table7910111213[[#This Row],[Data HR]]</f>
        <v>1</v>
      </c>
      <c r="K83" s="112"/>
    </row>
    <row r="84" spans="1:11" ht="15.75" x14ac:dyDescent="0.25">
      <c r="A84" s="94" t="str">
        <f t="shared" si="2"/>
        <v>Bandung</v>
      </c>
      <c r="B84" s="94" t="str">
        <f t="shared" si="3"/>
        <v>Pipa Pompa</v>
      </c>
      <c r="C84" s="100" t="s">
        <v>162</v>
      </c>
      <c r="D84" s="9" t="s">
        <v>163</v>
      </c>
      <c r="E84" s="96">
        <v>45979</v>
      </c>
      <c r="F84" s="96"/>
      <c r="G84" s="88" t="str">
        <f>VLOOKUP(Table7910111213[[#This Row],[Februari]],'Clean Data HR'!$G$2:$H$102,2,0)</f>
        <v>PMD2511004</v>
      </c>
      <c r="H84" s="88" t="s">
        <v>313</v>
      </c>
      <c r="I84" s="97" t="s">
        <v>163</v>
      </c>
      <c r="J84" s="98" t="b">
        <f>Table7910111213[[#This Row],[Februari]]=Table7910111213[[#This Row],[Data HR]]</f>
        <v>1</v>
      </c>
      <c r="K84" s="112"/>
    </row>
    <row r="85" spans="1:11" x14ac:dyDescent="0.25">
      <c r="A85" s="94" t="str">
        <f t="shared" si="2"/>
        <v>Bandung</v>
      </c>
      <c r="B85" s="94" t="str">
        <f t="shared" si="3"/>
        <v>Pipa Pompa</v>
      </c>
      <c r="C85" s="95" t="s">
        <v>164</v>
      </c>
      <c r="D85" s="95" t="s">
        <v>592</v>
      </c>
      <c r="E85" s="96">
        <v>45838</v>
      </c>
      <c r="F85" s="96"/>
      <c r="G85" s="88" t="str">
        <f>VLOOKUP(Table7910111213[[#This Row],[Februari]],'Clean Data HR'!$G$2:$H$102,2,0)</f>
        <v>PMD2506001</v>
      </c>
      <c r="H85" s="88">
        <v>8106058160</v>
      </c>
      <c r="I85" s="97" t="s">
        <v>592</v>
      </c>
      <c r="J85" s="98" t="b">
        <f>Table7910111213[[#This Row],[Februari]]=Table7910111213[[#This Row],[Data HR]]</f>
        <v>1</v>
      </c>
      <c r="K85" s="112"/>
    </row>
    <row r="86" spans="1:11" x14ac:dyDescent="0.25">
      <c r="A86" s="94" t="str">
        <f>IF(LEFT(RIGHT(C86,2),1)="0","Bandung",IF(LEFT(RIGHT(C86,2),1)="2","PCK",IF(LEFT(RIGHT(C86,2),1)="6","Cirebon",IF(LEFT(RIGHT(C86,2),1)="7","Tasik",IF(LEFT(RIGHT(C86,2),1)="8","Bogor","")))))</f>
        <v>Bandung</v>
      </c>
      <c r="B86" s="94" t="str">
        <f>IF(LEFT(C86,2)="EL","Elektrik",IF(LEFT(C86,2)="PP","Pipa Pompa",IF(LEFT(C86,2)="IC","ICI",IF(LEFT(C86,2)="PI","Pipamas",""))))</f>
        <v>Pipa Pompa</v>
      </c>
      <c r="C86" s="95" t="s">
        <v>166</v>
      </c>
      <c r="D86" s="9" t="s">
        <v>167</v>
      </c>
      <c r="E86" s="96">
        <v>44172</v>
      </c>
      <c r="F86" s="96"/>
      <c r="G86" s="88" t="str">
        <f>VLOOKUP(Table7910111213[[#This Row],[Februari]],'Clean Data HR'!$G$2:$H$102,2,0)</f>
        <v>PMD2012002</v>
      </c>
      <c r="H86" s="88" t="s">
        <v>293</v>
      </c>
      <c r="I86" s="97" t="s">
        <v>167</v>
      </c>
      <c r="J86" s="98" t="b">
        <f>Table7910111213[[#This Row],[Februari]]=Table7910111213[[#This Row],[Data HR]]</f>
        <v>1</v>
      </c>
      <c r="K86" s="112"/>
    </row>
    <row r="87" spans="1:11" ht="15.75" x14ac:dyDescent="0.25">
      <c r="A87" s="94" t="str">
        <f t="shared" si="2"/>
        <v>PCK</v>
      </c>
      <c r="B87" s="94" t="str">
        <f t="shared" si="3"/>
        <v>Pipa Pompa</v>
      </c>
      <c r="C87" s="100" t="s">
        <v>168</v>
      </c>
      <c r="D87" s="95" t="s">
        <v>593</v>
      </c>
      <c r="E87" s="96">
        <v>44538</v>
      </c>
      <c r="F87" s="96"/>
      <c r="G87" s="88" t="str">
        <f>VLOOKUP(Table7910111213[[#This Row],[Februari]],'Clean Data HR'!$G$2:$H$102,2,0)</f>
        <v>PMK2112008</v>
      </c>
      <c r="H87" s="88" t="s">
        <v>631</v>
      </c>
      <c r="I87" s="97" t="s">
        <v>593</v>
      </c>
      <c r="J87" s="98" t="b">
        <f>Table7910111213[[#This Row],[Februari]]=Table7910111213[[#This Row],[Data HR]]</f>
        <v>1</v>
      </c>
      <c r="K87" s="112"/>
    </row>
    <row r="88" spans="1:11" x14ac:dyDescent="0.25">
      <c r="A88" s="94" t="str">
        <f t="shared" si="2"/>
        <v>Cirebon</v>
      </c>
      <c r="B88" s="94" t="str">
        <f t="shared" si="3"/>
        <v>Pipa Pompa</v>
      </c>
      <c r="C88" s="95" t="s">
        <v>170</v>
      </c>
      <c r="D88" s="95" t="s">
        <v>172</v>
      </c>
      <c r="E88" s="96">
        <v>45509</v>
      </c>
      <c r="F88" s="96"/>
      <c r="G88" s="88" t="str">
        <f>VLOOKUP(Table7910111213[[#This Row],[Februari]],'Clean Data HR'!$G$2:$H$102,2,0)</f>
        <v>PMC2408001</v>
      </c>
      <c r="H88" s="88" t="s">
        <v>632</v>
      </c>
      <c r="I88" s="97" t="s">
        <v>172</v>
      </c>
      <c r="J88" s="98" t="b">
        <f>Table7910111213[[#This Row],[Februari]]=Table7910111213[[#This Row],[Data HR]]</f>
        <v>1</v>
      </c>
      <c r="K88" s="112"/>
    </row>
    <row r="89" spans="1:11" x14ac:dyDescent="0.25">
      <c r="A89" s="94" t="str">
        <f t="shared" si="2"/>
        <v>Cirebon</v>
      </c>
      <c r="B89" s="94" t="str">
        <f t="shared" si="3"/>
        <v>Pipa Pompa</v>
      </c>
      <c r="C89" s="95" t="s">
        <v>173</v>
      </c>
      <c r="D89" s="95" t="s">
        <v>175</v>
      </c>
      <c r="E89" s="96">
        <v>45079</v>
      </c>
      <c r="F89" s="96"/>
      <c r="G89" s="88" t="str">
        <f>VLOOKUP(Table7910111213[[#This Row],[Februari]],'Clean Data HR'!$G$2:$H$102,2,0)</f>
        <v>PMC2306001</v>
      </c>
      <c r="H89" s="88" t="s">
        <v>458</v>
      </c>
      <c r="I89" s="97" t="s">
        <v>175</v>
      </c>
      <c r="J89" s="98" t="b">
        <f>Table7910111213[[#This Row],[Februari]]=Table7910111213[[#This Row],[Data HR]]</f>
        <v>1</v>
      </c>
      <c r="K89" s="112"/>
    </row>
    <row r="90" spans="1:11" x14ac:dyDescent="0.25">
      <c r="A90" s="94" t="str">
        <f t="shared" si="2"/>
        <v>Cirebon</v>
      </c>
      <c r="B90" s="94" t="str">
        <f t="shared" si="3"/>
        <v>Pipa Pompa</v>
      </c>
      <c r="C90" s="95" t="s">
        <v>176</v>
      </c>
      <c r="D90" s="95" t="s">
        <v>178</v>
      </c>
      <c r="E90" s="96">
        <v>45502</v>
      </c>
      <c r="F90" s="96"/>
      <c r="G90" s="88" t="str">
        <f>VLOOKUP(Table7910111213[[#This Row],[Februari]],'Clean Data HR'!$G$2:$H$102,2,0)</f>
        <v>PMC2407003</v>
      </c>
      <c r="H90" s="88" t="s">
        <v>633</v>
      </c>
      <c r="I90" s="97" t="s">
        <v>178</v>
      </c>
      <c r="J90" s="98" t="b">
        <f>Table7910111213[[#This Row],[Februari]]=Table7910111213[[#This Row],[Data HR]]</f>
        <v>1</v>
      </c>
      <c r="K90" s="112"/>
    </row>
    <row r="91" spans="1:11" x14ac:dyDescent="0.25">
      <c r="A91" s="94" t="str">
        <f t="shared" si="2"/>
        <v>Cirebon</v>
      </c>
      <c r="B91" s="94" t="str">
        <f t="shared" si="3"/>
        <v>Pipa Pompa</v>
      </c>
      <c r="C91" s="95" t="s">
        <v>179</v>
      </c>
      <c r="D91" s="95" t="s">
        <v>181</v>
      </c>
      <c r="E91" s="96">
        <v>45419</v>
      </c>
      <c r="F91" s="96"/>
      <c r="G91" s="88" t="str">
        <f>VLOOKUP(Table7910111213[[#This Row],[Februari]],'Clean Data HR'!$G$2:$H$102,2,0)</f>
        <v>PMC2405002</v>
      </c>
      <c r="H91" s="88" t="s">
        <v>460</v>
      </c>
      <c r="I91" s="97" t="s">
        <v>181</v>
      </c>
      <c r="J91" s="98" t="b">
        <f>Table7910111213[[#This Row],[Februari]]=Table7910111213[[#This Row],[Data HR]]</f>
        <v>1</v>
      </c>
      <c r="K91" s="112"/>
    </row>
    <row r="92" spans="1:11" x14ac:dyDescent="0.25">
      <c r="A92" s="94" t="str">
        <f t="shared" si="2"/>
        <v>Cirebon</v>
      </c>
      <c r="B92" s="94" t="str">
        <f t="shared" si="3"/>
        <v>Pipa Pompa</v>
      </c>
      <c r="C92" s="95" t="s">
        <v>182</v>
      </c>
      <c r="D92" s="95" t="s">
        <v>184</v>
      </c>
      <c r="E92" s="96">
        <v>44655</v>
      </c>
      <c r="F92" s="96"/>
      <c r="G92" s="88" t="str">
        <f>VLOOKUP(Table7910111213[[#This Row],[Februari]],'Clean Data HR'!$G$2:$H$102,2,0)</f>
        <v>PMC2204004</v>
      </c>
      <c r="H92" s="88">
        <v>8180355414</v>
      </c>
      <c r="I92" s="97" t="s">
        <v>184</v>
      </c>
      <c r="J92" s="98" t="b">
        <f>Table7910111213[[#This Row],[Februari]]=Table7910111213[[#This Row],[Data HR]]</f>
        <v>1</v>
      </c>
      <c r="K92" s="112"/>
    </row>
    <row r="93" spans="1:11" x14ac:dyDescent="0.25">
      <c r="A93" s="94" t="str">
        <f t="shared" si="2"/>
        <v>Cirebon</v>
      </c>
      <c r="B93" s="94" t="str">
        <f t="shared" si="3"/>
        <v>Pipa Pompa</v>
      </c>
      <c r="C93" s="95" t="s">
        <v>185</v>
      </c>
      <c r="D93" s="95" t="s">
        <v>187</v>
      </c>
      <c r="E93" s="96">
        <v>45418</v>
      </c>
      <c r="F93" s="96"/>
      <c r="G93" s="88" t="str">
        <f>VLOOKUP(Table7910111213[[#This Row],[Februari]],'Clean Data HR'!$G$2:$H$102,2,0)</f>
        <v>PMC2405001</v>
      </c>
      <c r="H93" s="88" t="s">
        <v>453</v>
      </c>
      <c r="I93" s="6" t="s">
        <v>187</v>
      </c>
      <c r="J93" s="98" t="b">
        <f>Table7910111213[[#This Row],[Februari]]=Table7910111213[[#This Row],[Data HR]]</f>
        <v>1</v>
      </c>
      <c r="K93" s="112"/>
    </row>
    <row r="94" spans="1:11" x14ac:dyDescent="0.25">
      <c r="A94" s="94" t="str">
        <f t="shared" si="2"/>
        <v>Tasik</v>
      </c>
      <c r="B94" s="94" t="str">
        <f t="shared" si="3"/>
        <v>Pipa Pompa</v>
      </c>
      <c r="C94" s="99" t="s">
        <v>188</v>
      </c>
      <c r="D94" s="62" t="s">
        <v>615</v>
      </c>
      <c r="E94" s="96" t="s">
        <v>628</v>
      </c>
      <c r="F94" s="96"/>
      <c r="G94" s="88" t="s">
        <v>200</v>
      </c>
      <c r="H94" s="5" t="s">
        <v>507</v>
      </c>
      <c r="I94" s="62" t="s">
        <v>615</v>
      </c>
      <c r="J94" s="98" t="b">
        <f>Table7910111213[[#This Row],[Februari]]=Table7910111213[[#This Row],[Data HR]]</f>
        <v>1</v>
      </c>
      <c r="K94" s="112"/>
    </row>
    <row r="95" spans="1:11" x14ac:dyDescent="0.25">
      <c r="A95" s="94" t="str">
        <f t="shared" si="2"/>
        <v>Tasik</v>
      </c>
      <c r="B95" s="94" t="str">
        <f t="shared" si="3"/>
        <v>Pipa Pompa</v>
      </c>
      <c r="C95" s="99" t="s">
        <v>189</v>
      </c>
      <c r="D95" s="88" t="s">
        <v>190</v>
      </c>
      <c r="E95" s="96">
        <v>44907</v>
      </c>
      <c r="F95" s="96"/>
      <c r="G95" s="88" t="str">
        <f>VLOOKUP(Table7910111213[[#This Row],[Februari]],'Clean Data HR'!$G$2:$H$102,2,0)</f>
        <v>PMT2212001</v>
      </c>
      <c r="H95" s="88" t="s">
        <v>501</v>
      </c>
      <c r="I95" s="97" t="s">
        <v>190</v>
      </c>
      <c r="J95" s="98" t="b">
        <f>Table7910111213[[#This Row],[Februari]]=Table7910111213[[#This Row],[Data HR]]</f>
        <v>1</v>
      </c>
      <c r="K95" s="112"/>
    </row>
    <row r="96" spans="1:11" x14ac:dyDescent="0.25">
      <c r="A96" s="94" t="str">
        <f t="shared" si="2"/>
        <v>Tasik</v>
      </c>
      <c r="B96" s="94" t="str">
        <f t="shared" si="3"/>
        <v>Pipa Pompa</v>
      </c>
      <c r="C96" s="99" t="s">
        <v>191</v>
      </c>
      <c r="D96" s="88" t="s">
        <v>192</v>
      </c>
      <c r="E96" s="96">
        <v>45936</v>
      </c>
      <c r="F96" s="96"/>
      <c r="G96" s="88" t="str">
        <f>VLOOKUP(Table7910111213[[#This Row],[Februari]],'Clean Data HR'!$G$2:$H$102,2,0)</f>
        <v>PMD2510001</v>
      </c>
      <c r="H96" s="88" t="s">
        <v>504</v>
      </c>
      <c r="I96" s="97" t="s">
        <v>192</v>
      </c>
      <c r="J96" s="98" t="b">
        <f>Table7910111213[[#This Row],[Februari]]=Table7910111213[[#This Row],[Data HR]]</f>
        <v>1</v>
      </c>
      <c r="K96" s="112"/>
    </row>
    <row r="97" spans="1:11" x14ac:dyDescent="0.25">
      <c r="A97" s="94" t="str">
        <f t="shared" si="2"/>
        <v>Tasik</v>
      </c>
      <c r="B97" s="94" t="str">
        <f t="shared" si="3"/>
        <v>Pipa Pompa</v>
      </c>
      <c r="C97" s="99" t="s">
        <v>193</v>
      </c>
      <c r="D97" s="95" t="s">
        <v>594</v>
      </c>
      <c r="E97" s="96">
        <v>45824</v>
      </c>
      <c r="F97" s="96"/>
      <c r="G97" s="88" t="str">
        <f>VLOOKUP(Table7910111213[[#This Row],[Februari]],'Clean Data HR'!$G$2:$H$102,2,0)</f>
        <v>PMT2506003</v>
      </c>
      <c r="H97" s="88" t="s">
        <v>498</v>
      </c>
      <c r="I97" s="97" t="s">
        <v>594</v>
      </c>
      <c r="J97" s="98" t="b">
        <f>Table7910111213[[#This Row],[Februari]]=Table7910111213[[#This Row],[Data HR]]</f>
        <v>1</v>
      </c>
      <c r="K97" s="112"/>
    </row>
    <row r="98" spans="1:11" x14ac:dyDescent="0.25">
      <c r="A98" s="94" t="str">
        <f t="shared" si="2"/>
        <v>Tasik</v>
      </c>
      <c r="B98" s="94" t="str">
        <f t="shared" si="3"/>
        <v>Pipa Pompa</v>
      </c>
      <c r="C98" s="99" t="s">
        <v>195</v>
      </c>
      <c r="D98" s="88" t="s">
        <v>196</v>
      </c>
      <c r="E98" s="96">
        <v>45996</v>
      </c>
      <c r="F98" s="96"/>
      <c r="G98" s="88" t="str">
        <f>VLOOKUP(Table7910111213[[#This Row],[Februari]],'Clean Data HR'!$G$2:$H$102,2,0)</f>
        <v>PMD2512002</v>
      </c>
      <c r="H98" s="88" t="s">
        <v>510</v>
      </c>
      <c r="I98" s="97" t="s">
        <v>196</v>
      </c>
      <c r="J98" s="98" t="b">
        <f>Table7910111213[[#This Row],[Februari]]=Table7910111213[[#This Row],[Data HR]]</f>
        <v>1</v>
      </c>
      <c r="K98" s="112"/>
    </row>
    <row r="99" spans="1:11" x14ac:dyDescent="0.25">
      <c r="A99" s="94" t="str">
        <f t="shared" si="2"/>
        <v>Bogor</v>
      </c>
      <c r="B99" s="94" t="str">
        <f t="shared" si="3"/>
        <v>Pipa Pompa</v>
      </c>
      <c r="C99" s="95" t="s">
        <v>197</v>
      </c>
      <c r="D99" s="95" t="s">
        <v>595</v>
      </c>
      <c r="E99" s="96">
        <v>45894</v>
      </c>
      <c r="F99" s="96"/>
      <c r="G99" s="88" t="str">
        <f>VLOOKUP(Table7910111213[[#This Row],[Februari]],'Clean Data HR'!$G$2:$H$102,2,0)</f>
        <v>PMD2508009</v>
      </c>
      <c r="H99" s="88" t="s">
        <v>381</v>
      </c>
      <c r="I99" s="97" t="s">
        <v>595</v>
      </c>
      <c r="J99" s="98" t="b">
        <f>Table7910111213[[#This Row],[Februari]]=Table7910111213[[#This Row],[Data HR]]</f>
        <v>1</v>
      </c>
      <c r="K99" s="112"/>
    </row>
    <row r="100" spans="1:11" x14ac:dyDescent="0.25">
      <c r="A100" s="94" t="str">
        <f t="shared" si="2"/>
        <v>Bogor</v>
      </c>
      <c r="B100" s="94" t="str">
        <f t="shared" si="3"/>
        <v>Pipa Pompa</v>
      </c>
      <c r="C100" s="95" t="s">
        <v>199</v>
      </c>
      <c r="D100" s="95" t="s">
        <v>596</v>
      </c>
      <c r="E100" s="96">
        <v>46065</v>
      </c>
      <c r="F100" s="96"/>
      <c r="G100" s="8" t="str">
        <f>VLOOKUP(Table7910111213[[#This Row],[Februari]],'Clean Data HR'!$G$2:$H$102,2,0)</f>
        <v>PMD2602007</v>
      </c>
      <c r="H100" s="87" t="s">
        <v>201</v>
      </c>
      <c r="I100" s="97" t="s">
        <v>596</v>
      </c>
      <c r="J100" s="98" t="b">
        <f>Table7910111213[[#This Row],[Februari]]=Table7910111213[[#This Row],[Data HR]]</f>
        <v>1</v>
      </c>
      <c r="K100" s="88" t="s">
        <v>641</v>
      </c>
    </row>
    <row r="101" spans="1:11" x14ac:dyDescent="0.25">
      <c r="A101" s="94" t="str">
        <f t="shared" si="2"/>
        <v>Bogor</v>
      </c>
      <c r="B101" s="94" t="str">
        <f t="shared" si="3"/>
        <v>Pipa Pompa</v>
      </c>
      <c r="C101" s="95" t="s">
        <v>202</v>
      </c>
      <c r="D101" s="88" t="s">
        <v>597</v>
      </c>
      <c r="E101" s="96">
        <v>44979</v>
      </c>
      <c r="F101" s="96"/>
      <c r="G101" s="88" t="str">
        <f>VLOOKUP(Table7910111213[[#This Row],[Februari]],'Clean Data HR'!$G$2:$H$102,2,0)</f>
        <v>PMB2302004</v>
      </c>
      <c r="H101" s="88" t="s">
        <v>375</v>
      </c>
      <c r="I101" s="97" t="s">
        <v>597</v>
      </c>
      <c r="J101" s="98" t="b">
        <f>Table7910111213[[#This Row],[Februari]]=Table7910111213[[#This Row],[Data HR]]</f>
        <v>1</v>
      </c>
      <c r="K101" s="112"/>
    </row>
    <row r="102" spans="1:11" x14ac:dyDescent="0.25">
      <c r="A102" s="94" t="str">
        <f t="shared" si="2"/>
        <v>Bogor</v>
      </c>
      <c r="B102" s="94" t="str">
        <f t="shared" si="3"/>
        <v>Pipa Pompa</v>
      </c>
      <c r="C102" s="95" t="s">
        <v>204</v>
      </c>
      <c r="D102" s="88" t="s">
        <v>598</v>
      </c>
      <c r="E102" s="96">
        <v>44739</v>
      </c>
      <c r="F102" s="96"/>
      <c r="G102" s="88" t="str">
        <f>VLOOKUP(Table7910111213[[#This Row],[Februari]],'Clean Data HR'!$G$2:$H$102,2,0)</f>
        <v>PMB2207003</v>
      </c>
      <c r="H102" s="88" t="s">
        <v>372</v>
      </c>
      <c r="I102" s="97" t="s">
        <v>598</v>
      </c>
      <c r="J102" s="98" t="b">
        <f>Table7910111213[[#This Row],[Februari]]=Table7910111213[[#This Row],[Data HR]]</f>
        <v>1</v>
      </c>
      <c r="K102" s="112"/>
    </row>
    <row r="103" spans="1:11" x14ac:dyDescent="0.25">
      <c r="A103" s="94" t="str">
        <f t="shared" si="2"/>
        <v>Bogor</v>
      </c>
      <c r="B103" s="94" t="str">
        <f t="shared" si="3"/>
        <v>Pipa Pompa</v>
      </c>
      <c r="C103" s="95" t="s">
        <v>206</v>
      </c>
      <c r="D103" s="88" t="s">
        <v>599</v>
      </c>
      <c r="E103" s="96">
        <v>44902</v>
      </c>
      <c r="F103" s="96"/>
      <c r="G103" s="88" t="str">
        <f>VLOOKUP(Table7910111213[[#This Row],[Februari]],'Clean Data HR'!$G$2:$H$102,2,0)</f>
        <v>PMB2212001</v>
      </c>
      <c r="H103" s="88" t="s">
        <v>379</v>
      </c>
      <c r="I103" s="97" t="s">
        <v>599</v>
      </c>
      <c r="J103" s="98" t="b">
        <f>Table7910111213[[#This Row],[Februari]]=Table7910111213[[#This Row],[Data HR]]</f>
        <v>1</v>
      </c>
      <c r="K103" s="112"/>
    </row>
    <row r="104" spans="1:11" x14ac:dyDescent="0.25">
      <c r="A104" s="102" t="s">
        <v>51</v>
      </c>
      <c r="B104" s="102" t="str">
        <f t="shared" si="3"/>
        <v>Pipa Pompa</v>
      </c>
      <c r="C104" s="95" t="s">
        <v>208</v>
      </c>
      <c r="D104" s="88" t="s">
        <v>600</v>
      </c>
      <c r="E104" s="96">
        <v>45124</v>
      </c>
      <c r="F104" s="101"/>
      <c r="G104" s="88" t="str">
        <f>VLOOKUP(Table7910111213[[#This Row],[Februari]],'Clean Data HR'!$G$2:$H$102,2,0)</f>
        <v>PMB2307003</v>
      </c>
      <c r="H104" s="87" t="s">
        <v>210</v>
      </c>
      <c r="I104" s="97" t="s">
        <v>600</v>
      </c>
      <c r="J104" s="98" t="b">
        <f>Table7910111213[[#This Row],[Februari]]=Table7910111213[[#This Row],[Data HR]]</f>
        <v>1</v>
      </c>
      <c r="K104" s="112"/>
    </row>
    <row r="105" spans="1:11" x14ac:dyDescent="0.25">
      <c r="A105" s="102" t="s">
        <v>51</v>
      </c>
      <c r="B105" s="102" t="str">
        <f t="shared" si="3"/>
        <v>Pipa Pompa</v>
      </c>
      <c r="C105" s="95" t="s">
        <v>211</v>
      </c>
      <c r="D105" s="88" t="s">
        <v>557</v>
      </c>
      <c r="E105" s="96">
        <v>45414</v>
      </c>
      <c r="F105" s="101"/>
      <c r="G105" s="8" t="str">
        <f>VLOOKUP(Table7910111213[[#This Row],[Februari]],'Clean Data HR'!$G$2:$H$102,2,0)</f>
        <v>PMB2405002</v>
      </c>
      <c r="H105" s="87" t="s">
        <v>57</v>
      </c>
      <c r="I105" s="97" t="s">
        <v>557</v>
      </c>
      <c r="J105" s="98" t="b">
        <f>Table7910111213[[#This Row],[Februari]]=Table7910111213[[#This Row],[Data HR]]</f>
        <v>1</v>
      </c>
      <c r="K105" s="112"/>
    </row>
    <row r="106" spans="1:11" x14ac:dyDescent="0.25">
      <c r="A106" s="1"/>
      <c r="B106" s="1"/>
      <c r="C106" s="2"/>
      <c r="E106" s="3"/>
      <c r="F106" s="3"/>
    </row>
  </sheetData>
  <mergeCells count="1">
    <mergeCell ref="M2:N2"/>
  </mergeCells>
  <conditionalFormatting sqref="C2 C78:C102 C24:C33 A2:B33 A37:B106 A34:C36">
    <cfRule type="containsText" dxfId="102" priority="49" operator="containsText" text="vacant">
      <formula>NOT(ISERROR(SEARCH("vacant",A2)))</formula>
    </cfRule>
  </conditionalFormatting>
  <conditionalFormatting sqref="C76:C77 C64:C69">
    <cfRule type="containsText" dxfId="101" priority="53" operator="containsText" text="vacant">
      <formula>NOT(ISERROR(SEARCH("vacant",C64)))</formula>
    </cfRule>
  </conditionalFormatting>
  <conditionalFormatting sqref="C3:C18">
    <cfRule type="containsText" dxfId="100" priority="52" operator="containsText" text="vacant">
      <formula>NOT(ISERROR(SEARCH("vacant",C3)))</formula>
    </cfRule>
  </conditionalFormatting>
  <conditionalFormatting sqref="C42:C54">
    <cfRule type="containsText" dxfId="99" priority="51" operator="containsText" text="vacant">
      <formula>NOT(ISERROR(SEARCH("vacant",C42)))</formula>
    </cfRule>
  </conditionalFormatting>
  <conditionalFormatting sqref="C55:C63">
    <cfRule type="containsText" dxfId="98" priority="50" operator="containsText" text="vacant">
      <formula>NOT(ISERROR(SEARCH("vacant",C55)))</formula>
    </cfRule>
  </conditionalFormatting>
  <conditionalFormatting sqref="D85">
    <cfRule type="containsText" dxfId="97" priority="48" operator="containsText" text="vac">
      <formula>NOT(ISERROR(SEARCH("vac",D85)))</formula>
    </cfRule>
  </conditionalFormatting>
  <conditionalFormatting sqref="D97">
    <cfRule type="containsText" dxfId="96" priority="47" operator="containsText" text="vacant">
      <formula>NOT(ISERROR(SEARCH("vacant",D97)))</formula>
    </cfRule>
  </conditionalFormatting>
  <conditionalFormatting sqref="D97">
    <cfRule type="containsText" dxfId="95" priority="46" operator="containsText" text="vac">
      <formula>NOT(ISERROR(SEARCH("vac",D97)))</formula>
    </cfRule>
  </conditionalFormatting>
  <conditionalFormatting sqref="D69">
    <cfRule type="containsText" dxfId="94" priority="45" operator="containsText" text="vacant">
      <formula>NOT(ISERROR(SEARCH("vacant",D69)))</formula>
    </cfRule>
  </conditionalFormatting>
  <conditionalFormatting sqref="D69">
    <cfRule type="containsText" dxfId="93" priority="44" operator="containsText" text="vac">
      <formula>NOT(ISERROR(SEARCH("vac",D69)))</formula>
    </cfRule>
  </conditionalFormatting>
  <conditionalFormatting sqref="D70">
    <cfRule type="containsText" dxfId="92" priority="43" operator="containsText" text="vacant">
      <formula>NOT(ISERROR(SEARCH("vacant",D70)))</formula>
    </cfRule>
  </conditionalFormatting>
  <conditionalFormatting sqref="D70">
    <cfRule type="containsText" dxfId="91" priority="42" operator="containsText" text="vac">
      <formula>NOT(ISERROR(SEARCH("vac",D70)))</formula>
    </cfRule>
  </conditionalFormatting>
  <conditionalFormatting sqref="D71">
    <cfRule type="containsText" dxfId="90" priority="41" operator="containsText" text="vacant">
      <formula>NOT(ISERROR(SEARCH("vacant",D71)))</formula>
    </cfRule>
  </conditionalFormatting>
  <conditionalFormatting sqref="D71">
    <cfRule type="containsText" dxfId="89" priority="40" operator="containsText" text="vac">
      <formula>NOT(ISERROR(SEARCH("vac",D71)))</formula>
    </cfRule>
  </conditionalFormatting>
  <conditionalFormatting sqref="D62:D63">
    <cfRule type="containsText" dxfId="88" priority="39" operator="containsText" text="vac">
      <formula>NOT(ISERROR(SEARCH("vac",D62)))</formula>
    </cfRule>
  </conditionalFormatting>
  <conditionalFormatting sqref="D61">
    <cfRule type="containsText" dxfId="87" priority="20" operator="containsText" text="vacant">
      <formula>NOT(ISERROR(SEARCH("vacant",D61)))</formula>
    </cfRule>
  </conditionalFormatting>
  <conditionalFormatting sqref="D61">
    <cfRule type="containsText" dxfId="86" priority="19" operator="containsText" text="vac">
      <formula>NOT(ISERROR(SEARCH("vac",D61)))</formula>
    </cfRule>
  </conditionalFormatting>
  <conditionalFormatting sqref="D74">
    <cfRule type="containsText" dxfId="85" priority="18" operator="containsText" text="vacant">
      <formula>NOT(ISERROR(SEARCH("vacant",D74)))</formula>
    </cfRule>
  </conditionalFormatting>
  <conditionalFormatting sqref="D74">
    <cfRule type="containsText" dxfId="84" priority="17" operator="containsText" text="vac">
      <formula>NOT(ISERROR(SEARCH("vac",D74)))</formula>
    </cfRule>
  </conditionalFormatting>
  <conditionalFormatting sqref="J1:J1048576">
    <cfRule type="containsText" dxfId="83" priority="15" operator="containsText" text="false">
      <formula>NOT(ISERROR(SEARCH("false",J1)))</formula>
    </cfRule>
    <cfRule type="containsText" dxfId="82" priority="16" operator="containsText" text="true">
      <formula>NOT(ISERROR(SEARCH("true",J1)))</formula>
    </cfRule>
  </conditionalFormatting>
  <conditionalFormatting sqref="I62">
    <cfRule type="containsText" dxfId="81" priority="14" operator="containsText" text="vac">
      <formula>NOT(ISERROR(SEARCH("vac",I62)))</formula>
    </cfRule>
  </conditionalFormatting>
  <conditionalFormatting sqref="I74">
    <cfRule type="containsText" dxfId="80" priority="10" operator="containsText" text="FALSE">
      <formula>NOT(ISERROR(SEARCH("FALSE",I74)))</formula>
    </cfRule>
    <cfRule type="containsText" dxfId="79" priority="11" operator="containsText" text="TRUE">
      <formula>NOT(ISERROR(SEARCH("TRUE",I74)))</formula>
    </cfRule>
  </conditionalFormatting>
  <conditionalFormatting sqref="I74">
    <cfRule type="containsText" dxfId="78" priority="12" operator="containsText" text="vac">
      <formula>NOT(ISERROR(SEARCH("vac",I74)))</formula>
    </cfRule>
    <cfRule type="containsText" dxfId="77" priority="13" operator="containsText" text="vacant">
      <formula>NOT(ISERROR(SEARCH("vacant",I74)))</formula>
    </cfRule>
  </conditionalFormatting>
  <conditionalFormatting sqref="H54">
    <cfRule type="containsText" dxfId="76" priority="8" operator="containsText" text="FALSE">
      <formula>NOT(ISERROR(SEARCH("FALSE",H54)))</formula>
    </cfRule>
    <cfRule type="containsText" dxfId="75" priority="9" operator="containsText" text="TRUE">
      <formula>NOT(ISERROR(SEARCH("TRUE",H54)))</formula>
    </cfRule>
  </conditionalFormatting>
  <conditionalFormatting sqref="K100">
    <cfRule type="containsText" dxfId="74" priority="6" operator="containsText" text="FALSE">
      <formula>NOT(ISERROR(SEARCH("FALSE",K100)))</formula>
    </cfRule>
    <cfRule type="containsText" dxfId="73" priority="7" operator="containsText" text="TRUE">
      <formula>NOT(ISERROR(SEARCH("TRUE",K100)))</formula>
    </cfRule>
  </conditionalFormatting>
  <conditionalFormatting sqref="K69">
    <cfRule type="containsText" dxfId="72" priority="2" operator="containsText" text="FALSE">
      <formula>NOT(ISERROR(SEARCH("FALSE",K69)))</formula>
    </cfRule>
    <cfRule type="containsText" dxfId="71" priority="3" operator="containsText" text="TRUE">
      <formula>NOT(ISERROR(SEARCH("TRUE",K69)))</formula>
    </cfRule>
  </conditionalFormatting>
  <conditionalFormatting sqref="K69">
    <cfRule type="containsText" dxfId="70" priority="4" operator="containsText" text="vac">
      <formula>NOT(ISERROR(SEARCH("vac",K69)))</formula>
    </cfRule>
    <cfRule type="containsText" dxfId="69" priority="5" operator="containsText" text="vacant">
      <formula>NOT(ISERROR(SEARCH("vacant",K69)))</formula>
    </cfRule>
  </conditionalFormatting>
  <conditionalFormatting sqref="D2:D105">
    <cfRule type="containsText" dxfId="68" priority="1" operator="containsText" text="vacan">
      <formula>NOT(ISERROR(SEARCH("vacan",D2)))</formula>
    </cfRule>
  </conditionalFormatting>
  <pageMargins left="0.7" right="0.7" top="0.75" bottom="0.75" header="0.3" footer="0.3"/>
  <pageSetup paperSize="9" orientation="portrait" horizontalDpi="0" verticalDpi="0" r:id="rId1"/>
  <ignoredErrors>
    <ignoredError sqref="H3:H53 H55:H93 H95:H105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1261-0051-4CD6-B0A1-F677F706C9AE}">
  <sheetPr>
    <tabColor rgb="FFFF0000"/>
  </sheetPr>
  <dimension ref="A1:I109"/>
  <sheetViews>
    <sheetView tabSelected="1" topLeftCell="A12" workbookViewId="0">
      <selection activeCell="E103" sqref="E103"/>
    </sheetView>
  </sheetViews>
  <sheetFormatPr defaultRowHeight="15" x14ac:dyDescent="0.25"/>
  <cols>
    <col min="1" max="1" width="9.28515625" bestFit="1" customWidth="1"/>
    <col min="2" max="2" width="11.42578125" bestFit="1" customWidth="1"/>
    <col min="3" max="3" width="12.85546875" bestFit="1" customWidth="1"/>
    <col min="4" max="4" width="30" bestFit="1" customWidth="1"/>
    <col min="5" max="5" width="10.7109375" bestFit="1" customWidth="1"/>
    <col min="6" max="6" width="9" bestFit="1" customWidth="1"/>
    <col min="7" max="7" width="12.140625" bestFit="1" customWidth="1"/>
    <col min="8" max="8" width="11" bestFit="1" customWidth="1"/>
    <col min="9" max="9" width="50.7109375" bestFit="1" customWidth="1"/>
  </cols>
  <sheetData>
    <row r="1" spans="1:9" x14ac:dyDescent="0.25">
      <c r="A1" s="89" t="s">
        <v>0</v>
      </c>
      <c r="B1" s="89" t="s">
        <v>1</v>
      </c>
      <c r="C1" s="89" t="s">
        <v>2</v>
      </c>
      <c r="D1" s="90" t="s">
        <v>3</v>
      </c>
      <c r="E1" s="91" t="s">
        <v>4</v>
      </c>
      <c r="F1" s="89" t="s">
        <v>5</v>
      </c>
      <c r="G1" s="89" t="s">
        <v>6</v>
      </c>
      <c r="H1" s="89" t="s">
        <v>7</v>
      </c>
      <c r="I1" s="89" t="s">
        <v>643</v>
      </c>
    </row>
    <row r="2" spans="1:9" x14ac:dyDescent="0.25">
      <c r="A2" s="102" t="str">
        <f>IF(LEFT(RIGHT(C2,2),1)="0","Bandung",IF(LEFT(RIGHT(C2,2),1)="2","PCK",IF(LEFT(RIGHT(C2,2),1)="6","Cirebon",IF(LEFT(RIGHT(C2,2),1)="7","Tasik",IF(LEFT(RIGHT(C2,2),1)="8","Bogor","")))))</f>
        <v>Bandung</v>
      </c>
      <c r="B2" s="102" t="s">
        <v>644</v>
      </c>
      <c r="C2" s="115" t="s">
        <v>645</v>
      </c>
      <c r="D2" s="88" t="s">
        <v>646</v>
      </c>
      <c r="E2" s="116"/>
      <c r="F2" s="117"/>
      <c r="G2" s="88" t="s">
        <v>647</v>
      </c>
      <c r="H2" s="88">
        <v>4371830329</v>
      </c>
      <c r="I2" s="118"/>
    </row>
    <row r="3" spans="1:9" x14ac:dyDescent="0.25">
      <c r="A3" s="94" t="str">
        <f t="shared" ref="A3:A61" si="0">IF(LEFT(RIGHT(C3,2),1)="0","Bandung",IF(LEFT(RIGHT(C3,2),1)="2","PCK",IF(LEFT(RIGHT(C3,2),1)="6","Cirebon",IF(LEFT(RIGHT(C3,2),1)="7","Tasik",IF(LEFT(RIGHT(C3,2),1)="8","Bogor","")))))</f>
        <v>Bandung</v>
      </c>
      <c r="B3" s="94" t="str">
        <f t="shared" ref="B3:B78" si="1">IF(LEFT(C3,2)="EL","Elektrik",IF(LEFT(C3,2)="PP","Pipa Pompa",IF(LEFT(C3,2)="IC","ICI",IF(LEFT(C3,2)="PI","Pipamas",""))))</f>
        <v>Elektrik</v>
      </c>
      <c r="C3" s="95" t="s">
        <v>9</v>
      </c>
      <c r="D3" s="9" t="s">
        <v>538</v>
      </c>
      <c r="E3" s="96">
        <v>44588</v>
      </c>
      <c r="F3" s="96"/>
      <c r="G3" s="88" t="str">
        <f>VLOOKUP(Table79101112133[[#This Row],[Februari]],'Clean Data HR'!$G$2:$H$102,2,0)</f>
        <v>PMD2201011</v>
      </c>
      <c r="H3" s="88">
        <v>4371314568</v>
      </c>
      <c r="I3" s="88"/>
    </row>
    <row r="4" spans="1:9" x14ac:dyDescent="0.25">
      <c r="A4" s="94" t="str">
        <f t="shared" si="0"/>
        <v>Bandung</v>
      </c>
      <c r="B4" s="94" t="str">
        <f t="shared" si="1"/>
        <v>Elektrik</v>
      </c>
      <c r="C4" s="95" t="s">
        <v>10</v>
      </c>
      <c r="D4" s="9" t="s">
        <v>539</v>
      </c>
      <c r="E4" s="96">
        <v>46058</v>
      </c>
      <c r="F4" s="96"/>
      <c r="G4" s="61" t="s">
        <v>12</v>
      </c>
      <c r="H4" s="87" t="s">
        <v>13</v>
      </c>
      <c r="I4" s="88"/>
    </row>
    <row r="5" spans="1:9" x14ac:dyDescent="0.25">
      <c r="A5" s="94" t="str">
        <f t="shared" si="0"/>
        <v>Bandung</v>
      </c>
      <c r="B5" s="94" t="str">
        <f t="shared" si="1"/>
        <v>Elektrik</v>
      </c>
      <c r="C5" s="95" t="s">
        <v>14</v>
      </c>
      <c r="D5" s="9" t="s">
        <v>540</v>
      </c>
      <c r="E5" s="96">
        <v>46006</v>
      </c>
      <c r="F5" s="96"/>
      <c r="G5" s="88" t="str">
        <f>VLOOKUP(Table79101112133[[#This Row],[Februari]],'Clean Data HR'!$G$2:$H$102,2,0)</f>
        <v>PMD2512008</v>
      </c>
      <c r="H5" s="88" t="s">
        <v>288</v>
      </c>
      <c r="I5" s="88"/>
    </row>
    <row r="6" spans="1:9" x14ac:dyDescent="0.25">
      <c r="A6" s="94" t="str">
        <f t="shared" si="0"/>
        <v>Bandung</v>
      </c>
      <c r="B6" s="94" t="str">
        <f t="shared" si="1"/>
        <v>Elektrik</v>
      </c>
      <c r="C6" s="95" t="s">
        <v>15</v>
      </c>
      <c r="D6" s="9" t="s">
        <v>541</v>
      </c>
      <c r="E6" s="96">
        <v>45533</v>
      </c>
      <c r="F6" s="96"/>
      <c r="G6" s="88" t="str">
        <f>VLOOKUP(Table79101112133[[#This Row],[Februari]],'Clean Data HR'!$G$2:$H$102,2,0)</f>
        <v>PMD2408006</v>
      </c>
      <c r="H6" s="88" t="s">
        <v>619</v>
      </c>
      <c r="I6" s="88"/>
    </row>
    <row r="7" spans="1:9" x14ac:dyDescent="0.25">
      <c r="A7" s="94" t="str">
        <f t="shared" si="0"/>
        <v>Bandung</v>
      </c>
      <c r="B7" s="94" t="str">
        <f t="shared" si="1"/>
        <v>Elektrik</v>
      </c>
      <c r="C7" s="95" t="s">
        <v>16</v>
      </c>
      <c r="D7" s="9" t="s">
        <v>542</v>
      </c>
      <c r="E7" s="96">
        <v>45628</v>
      </c>
      <c r="F7" s="96"/>
      <c r="G7" s="88" t="str">
        <f>VLOOKUP(Table79101112133[[#This Row],[Februari]],'Clean Data HR'!$G$2:$H$102,2,0)</f>
        <v>PMD2412001</v>
      </c>
      <c r="H7" s="88" t="s">
        <v>282</v>
      </c>
      <c r="I7" s="88"/>
    </row>
    <row r="8" spans="1:9" x14ac:dyDescent="0.25">
      <c r="A8" s="94" t="str">
        <f t="shared" si="0"/>
        <v>Bandung</v>
      </c>
      <c r="B8" s="94" t="str">
        <f t="shared" si="1"/>
        <v>Elektrik</v>
      </c>
      <c r="C8" s="95" t="s">
        <v>17</v>
      </c>
      <c r="D8" s="88" t="s">
        <v>603</v>
      </c>
      <c r="E8" s="96">
        <v>46000</v>
      </c>
      <c r="F8" s="96"/>
      <c r="G8" s="88" t="str">
        <f>VLOOKUP(Table79101112133[[#This Row],[Februari]],'Clean Data HR'!$G$2:$H$102,2,0)</f>
        <v>PMD2512005</v>
      </c>
      <c r="H8" s="88" t="s">
        <v>285</v>
      </c>
      <c r="I8" s="88"/>
    </row>
    <row r="9" spans="1:9" x14ac:dyDescent="0.25">
      <c r="A9" s="94" t="str">
        <f t="shared" si="0"/>
        <v>Bandung</v>
      </c>
      <c r="B9" s="94" t="str">
        <f t="shared" si="1"/>
        <v>Elektrik</v>
      </c>
      <c r="C9" s="95" t="s">
        <v>18</v>
      </c>
      <c r="D9" s="9" t="s">
        <v>543</v>
      </c>
      <c r="E9" s="96">
        <v>44704</v>
      </c>
      <c r="F9" s="96"/>
      <c r="G9" s="88" t="str">
        <f>VLOOKUP(Table79101112133[[#This Row],[Februari]],'Clean Data HR'!$G$2:$H$102,2,0)</f>
        <v>PMD2205003</v>
      </c>
      <c r="H9" s="88">
        <v>2810384045</v>
      </c>
      <c r="I9" s="88"/>
    </row>
    <row r="10" spans="1:9" x14ac:dyDescent="0.25">
      <c r="A10" s="94" t="str">
        <f t="shared" si="0"/>
        <v>Bandung</v>
      </c>
      <c r="B10" s="94" t="str">
        <f>IF(LEFT(C10,2)="EL","Elektrik",IF(LEFT(C10,2)="PP","Pipa Pompa",IF(LEFT(C10,2)="IC","ICI",IF(LEFT(C10,2)="PI","Pipamas",""))))</f>
        <v>Elektrik</v>
      </c>
      <c r="C10" s="95" t="s">
        <v>19</v>
      </c>
      <c r="D10" s="9" t="s">
        <v>544</v>
      </c>
      <c r="E10" s="96">
        <v>44706</v>
      </c>
      <c r="F10" s="96"/>
      <c r="G10" s="88" t="str">
        <f>VLOOKUP(Table79101112133[[#This Row],[Februari]],'Clean Data HR'!$G$2:$H$102,2,0)</f>
        <v>PMD2205006</v>
      </c>
      <c r="H10" s="88" t="s">
        <v>620</v>
      </c>
      <c r="I10" s="88"/>
    </row>
    <row r="11" spans="1:9" x14ac:dyDescent="0.25">
      <c r="A11" s="94" t="str">
        <f t="shared" si="0"/>
        <v>PCK</v>
      </c>
      <c r="B11" s="94" t="str">
        <f t="shared" si="1"/>
        <v>Elektrik</v>
      </c>
      <c r="C11" s="99" t="s">
        <v>21</v>
      </c>
      <c r="D11" s="9" t="s">
        <v>545</v>
      </c>
      <c r="E11" s="96">
        <v>45649</v>
      </c>
      <c r="F11" s="96"/>
      <c r="G11" s="88" t="str">
        <f>VLOOKUP(Table79101112133[[#This Row],[Februari]],'Clean Data HR'!$G$2:$H$102,2,0)</f>
        <v>PMK2412001</v>
      </c>
      <c r="H11" s="88" t="s">
        <v>406</v>
      </c>
      <c r="I11" s="88"/>
    </row>
    <row r="12" spans="1:9" ht="15.75" x14ac:dyDescent="0.25">
      <c r="A12" s="94" t="str">
        <f t="shared" si="0"/>
        <v>Cirebon</v>
      </c>
      <c r="B12" s="94" t="str">
        <f t="shared" si="1"/>
        <v>Elektrik</v>
      </c>
      <c r="C12" s="100" t="s">
        <v>23</v>
      </c>
      <c r="D12" s="9" t="s">
        <v>24</v>
      </c>
      <c r="E12" s="96">
        <v>44951</v>
      </c>
      <c r="F12" s="96"/>
      <c r="G12" s="88" t="str">
        <f>VLOOKUP(Table79101112133[[#This Row],[Februari]],'Clean Data HR'!$G$2:$H$102,2,0)</f>
        <v>PMC2301001</v>
      </c>
      <c r="H12" s="88" t="s">
        <v>423</v>
      </c>
      <c r="I12" s="88"/>
    </row>
    <row r="13" spans="1:9" ht="15.75" x14ac:dyDescent="0.25">
      <c r="A13" s="94" t="str">
        <f t="shared" si="0"/>
        <v>Cirebon</v>
      </c>
      <c r="B13" s="94" t="str">
        <f t="shared" si="1"/>
        <v>Elektrik</v>
      </c>
      <c r="C13" s="100" t="s">
        <v>25</v>
      </c>
      <c r="D13" s="9" t="s">
        <v>26</v>
      </c>
      <c r="E13" s="96">
        <v>44536</v>
      </c>
      <c r="F13" s="96"/>
      <c r="G13" s="88" t="str">
        <f>VLOOKUP(Table79101112133[[#This Row],[Februari]],'Clean Data HR'!$G$2:$H$102,2,0)</f>
        <v>PMC2112006</v>
      </c>
      <c r="H13" s="88">
        <v>8180224085</v>
      </c>
      <c r="I13" s="88"/>
    </row>
    <row r="14" spans="1:9" ht="15.75" x14ac:dyDescent="0.25">
      <c r="A14" s="94" t="str">
        <f t="shared" si="0"/>
        <v>Cirebon</v>
      </c>
      <c r="B14" s="94" t="str">
        <f t="shared" si="1"/>
        <v>Elektrik</v>
      </c>
      <c r="C14" s="100" t="s">
        <v>27</v>
      </c>
      <c r="D14" s="9" t="s">
        <v>28</v>
      </c>
      <c r="E14" s="96">
        <v>45845</v>
      </c>
      <c r="F14" s="96"/>
      <c r="G14" s="113" t="s">
        <v>433</v>
      </c>
      <c r="H14" s="88">
        <v>373802651</v>
      </c>
      <c r="I14" s="88"/>
    </row>
    <row r="15" spans="1:9" ht="15.75" x14ac:dyDescent="0.25">
      <c r="A15" s="94" t="str">
        <f t="shared" si="0"/>
        <v>Cirebon</v>
      </c>
      <c r="B15" s="94" t="str">
        <f t="shared" si="1"/>
        <v>Elektrik</v>
      </c>
      <c r="C15" s="100" t="s">
        <v>29</v>
      </c>
      <c r="D15" s="9" t="s">
        <v>30</v>
      </c>
      <c r="E15" s="96">
        <v>45502</v>
      </c>
      <c r="F15" s="96"/>
      <c r="G15" s="88" t="str">
        <f>VLOOKUP(Table79101112133[[#This Row],[Februari]],'Clean Data HR'!$G$2:$H$102,2,0)</f>
        <v>PMC2407004</v>
      </c>
      <c r="H15" s="88" t="s">
        <v>621</v>
      </c>
      <c r="I15" s="88"/>
    </row>
    <row r="16" spans="1:9" ht="15.75" x14ac:dyDescent="0.25">
      <c r="A16" s="94" t="str">
        <f t="shared" si="0"/>
        <v>Cirebon</v>
      </c>
      <c r="B16" s="94" t="str">
        <f t="shared" si="1"/>
        <v>Elektrik</v>
      </c>
      <c r="C16" s="100" t="s">
        <v>31</v>
      </c>
      <c r="D16" s="9" t="s">
        <v>546</v>
      </c>
      <c r="E16" s="96">
        <v>45708</v>
      </c>
      <c r="F16" s="96"/>
      <c r="G16" s="88" t="str">
        <f>VLOOKUP(Table79101112133[[#This Row],[Februari]],'Clean Data HR'!$G$2:$H$102,2,0)</f>
        <v>PMC2502002</v>
      </c>
      <c r="H16" s="88" t="s">
        <v>431</v>
      </c>
      <c r="I16" s="88"/>
    </row>
    <row r="17" spans="1:9" ht="15.75" x14ac:dyDescent="0.25">
      <c r="A17" s="94" t="str">
        <f t="shared" si="0"/>
        <v>Cirebon</v>
      </c>
      <c r="B17" s="94" t="str">
        <f t="shared" si="1"/>
        <v>Elektrik</v>
      </c>
      <c r="C17" s="100" t="s">
        <v>32</v>
      </c>
      <c r="D17" s="9" t="s">
        <v>33</v>
      </c>
      <c r="E17" s="96">
        <v>45643</v>
      </c>
      <c r="F17" s="96"/>
      <c r="G17" s="88" t="str">
        <f>VLOOKUP(Table79101112133[[#This Row],[Februari]],'Clean Data HR'!$G$2:$H$102,2,0)</f>
        <v>PMC2412003</v>
      </c>
      <c r="H17" s="88" t="s">
        <v>428</v>
      </c>
      <c r="I17" s="88"/>
    </row>
    <row r="18" spans="1:9" x14ac:dyDescent="0.25">
      <c r="A18" s="94" t="str">
        <f t="shared" si="0"/>
        <v>Tasik</v>
      </c>
      <c r="B18" s="94" t="str">
        <f t="shared" si="1"/>
        <v>Elektrik</v>
      </c>
      <c r="C18" s="88" t="s">
        <v>34</v>
      </c>
      <c r="D18" s="9" t="s">
        <v>547</v>
      </c>
      <c r="E18" s="96">
        <v>45468</v>
      </c>
      <c r="F18" s="96"/>
      <c r="G18" s="88" t="str">
        <f>VLOOKUP(Table79101112133[[#This Row],[Februari]],'Clean Data HR'!$G$2:$H$102,2,0)</f>
        <v>PMT2406003</v>
      </c>
      <c r="H18" s="88" t="s">
        <v>484</v>
      </c>
      <c r="I18" s="88"/>
    </row>
    <row r="19" spans="1:9" x14ac:dyDescent="0.25">
      <c r="A19" s="94" t="str">
        <f t="shared" si="0"/>
        <v>Tasik</v>
      </c>
      <c r="B19" s="94" t="str">
        <f t="shared" si="1"/>
        <v>Elektrik</v>
      </c>
      <c r="C19" s="88" t="s">
        <v>36</v>
      </c>
      <c r="D19" s="9" t="s">
        <v>548</v>
      </c>
      <c r="E19" s="96">
        <v>44734</v>
      </c>
      <c r="F19" s="96"/>
      <c r="G19" s="88" t="str">
        <f>VLOOKUP(Table79101112133[[#This Row],[Februari]],'Clean Data HR'!$G$2:$H$102,2,0)</f>
        <v>PMT2206001</v>
      </c>
      <c r="H19" s="88">
        <v>3210914411</v>
      </c>
      <c r="I19" s="88"/>
    </row>
    <row r="20" spans="1:9" x14ac:dyDescent="0.25">
      <c r="A20" s="94" t="str">
        <f t="shared" si="0"/>
        <v>Tasik</v>
      </c>
      <c r="B20" s="94" t="str">
        <f t="shared" si="1"/>
        <v>Elektrik</v>
      </c>
      <c r="C20" s="88" t="s">
        <v>38</v>
      </c>
      <c r="D20" s="9" t="s">
        <v>549</v>
      </c>
      <c r="E20" s="96">
        <v>45558</v>
      </c>
      <c r="F20" s="96"/>
      <c r="G20" s="88" t="str">
        <f>VLOOKUP(Table79101112133[[#This Row],[Februari]],'Clean Data HR'!$G$2:$H$102,2,0)</f>
        <v>PMT2409001</v>
      </c>
      <c r="H20" s="88" t="s">
        <v>622</v>
      </c>
      <c r="I20" s="88"/>
    </row>
    <row r="21" spans="1:9" x14ac:dyDescent="0.25">
      <c r="A21" s="94" t="str">
        <f t="shared" si="0"/>
        <v>Tasik</v>
      </c>
      <c r="B21" s="94" t="str">
        <f t="shared" si="1"/>
        <v>Elektrik</v>
      </c>
      <c r="C21" s="88" t="s">
        <v>40</v>
      </c>
      <c r="D21" s="9" t="s">
        <v>550</v>
      </c>
      <c r="E21" s="96">
        <v>45820</v>
      </c>
      <c r="F21" s="96"/>
      <c r="G21" s="88" t="str">
        <f>VLOOKUP(Table79101112133[[#This Row],[Februari]],'Clean Data HR'!$G$2:$H$102,2,0)</f>
        <v>PMT2506001</v>
      </c>
      <c r="H21" s="88" t="s">
        <v>490</v>
      </c>
      <c r="I21" s="88"/>
    </row>
    <row r="22" spans="1:9" x14ac:dyDescent="0.25">
      <c r="A22" s="94" t="str">
        <f t="shared" si="0"/>
        <v>Tasik</v>
      </c>
      <c r="B22" s="94" t="str">
        <f t="shared" si="1"/>
        <v>Elektrik</v>
      </c>
      <c r="C22" s="88" t="s">
        <v>42</v>
      </c>
      <c r="D22" s="9" t="s">
        <v>613</v>
      </c>
      <c r="E22" s="96">
        <v>45679</v>
      </c>
      <c r="F22" s="96"/>
      <c r="G22" s="88" t="str">
        <f>VLOOKUP(Table79101112133[[#This Row],[Februari]],'Clean Data HR'!$G$2:$H$102,2,0)</f>
        <v>PMT2501001</v>
      </c>
      <c r="H22" s="88" t="s">
        <v>487</v>
      </c>
      <c r="I22" s="88"/>
    </row>
    <row r="23" spans="1:9" ht="15.75" x14ac:dyDescent="0.25">
      <c r="A23" s="94" t="str">
        <f t="shared" si="0"/>
        <v>Bogor</v>
      </c>
      <c r="B23" s="94" t="str">
        <f t="shared" si="1"/>
        <v>Elektrik</v>
      </c>
      <c r="C23" s="100" t="s">
        <v>43</v>
      </c>
      <c r="D23" s="9" t="s">
        <v>551</v>
      </c>
      <c r="E23" s="96">
        <v>45414</v>
      </c>
      <c r="F23" s="96"/>
      <c r="G23" s="88" t="str">
        <f>VLOOKUP(Table79101112133[[#This Row],[Februari]],'Clean Data HR'!$G$2:$H$102,2,0)</f>
        <v>PMB2405003</v>
      </c>
      <c r="H23" s="88" t="s">
        <v>365</v>
      </c>
      <c r="I23" s="88"/>
    </row>
    <row r="24" spans="1:9" ht="15.75" x14ac:dyDescent="0.25">
      <c r="A24" s="94" t="str">
        <f t="shared" si="0"/>
        <v>Bogor</v>
      </c>
      <c r="B24" s="94" t="str">
        <f t="shared" si="1"/>
        <v>Elektrik</v>
      </c>
      <c r="C24" s="100" t="s">
        <v>44</v>
      </c>
      <c r="D24" s="9" t="s">
        <v>552</v>
      </c>
      <c r="E24" s="96">
        <v>44903</v>
      </c>
      <c r="F24" s="96"/>
      <c r="G24" s="88" t="str">
        <f>VLOOKUP(Table79101112133[[#This Row],[Februari]],'Clean Data HR'!$G$2:$H$102,2,0)</f>
        <v>PMB2212002</v>
      </c>
      <c r="H24" s="88">
        <v>7402130230</v>
      </c>
      <c r="I24" s="88"/>
    </row>
    <row r="25" spans="1:9" ht="15.75" x14ac:dyDescent="0.25">
      <c r="A25" s="94" t="str">
        <f t="shared" si="0"/>
        <v>Bogor</v>
      </c>
      <c r="B25" s="94" t="str">
        <f t="shared" si="1"/>
        <v>Elektrik</v>
      </c>
      <c r="C25" s="100" t="s">
        <v>45</v>
      </c>
      <c r="D25" s="9" t="s">
        <v>553</v>
      </c>
      <c r="E25" s="96">
        <v>44531</v>
      </c>
      <c r="F25" s="96"/>
      <c r="G25" s="88" t="str">
        <f>VLOOKUP(Table79101112133[[#This Row],[Februari]],'Clean Data HR'!$G$2:$H$102,2,0)</f>
        <v>PMB2112002</v>
      </c>
      <c r="H25" s="88">
        <v>5015250876</v>
      </c>
      <c r="I25" s="88"/>
    </row>
    <row r="26" spans="1:9" ht="15.75" x14ac:dyDescent="0.25">
      <c r="A26" s="94" t="str">
        <f t="shared" si="0"/>
        <v>Bogor</v>
      </c>
      <c r="B26" s="94" t="str">
        <f t="shared" si="1"/>
        <v>Elektrik</v>
      </c>
      <c r="C26" s="100" t="s">
        <v>46</v>
      </c>
      <c r="D26" s="9" t="s">
        <v>554</v>
      </c>
      <c r="E26" s="96">
        <v>44091</v>
      </c>
      <c r="F26" s="96"/>
      <c r="G26" s="88" t="str">
        <f>VLOOKUP(Table79101112133[[#This Row],[Februari]],'Clean Data HR'!$G$2:$H$102,2,0)</f>
        <v>PMB2009005</v>
      </c>
      <c r="H26" s="88">
        <v>5735335861</v>
      </c>
      <c r="I26" s="88"/>
    </row>
    <row r="27" spans="1:9" ht="15.75" x14ac:dyDescent="0.25">
      <c r="A27" s="94" t="str">
        <f t="shared" si="0"/>
        <v>Bogor</v>
      </c>
      <c r="B27" s="94" t="str">
        <f t="shared" si="1"/>
        <v>Elektrik</v>
      </c>
      <c r="C27" s="100" t="s">
        <v>47</v>
      </c>
      <c r="D27" s="9" t="s">
        <v>555</v>
      </c>
      <c r="E27" s="96">
        <v>46066</v>
      </c>
      <c r="F27" s="101"/>
      <c r="G27" s="88" t="str">
        <f>VLOOKUP(Table79101112133[[#This Row],[Februari]],'Clean Data HR'!$G$2:$H$102,2,0)</f>
        <v>PMD2602008</v>
      </c>
      <c r="H27" s="88" t="s">
        <v>50</v>
      </c>
      <c r="I27" s="88"/>
    </row>
    <row r="28" spans="1:9" x14ac:dyDescent="0.25">
      <c r="A28" s="102" t="s">
        <v>51</v>
      </c>
      <c r="B28" s="102" t="str">
        <f>IF(LEFT(C28,2)="EL","Elektrik",IF(LEFT(C28,2)="PP","Pipa Pompa",IF(LEFT(C28,2)="IC","ICI",IF(LEFT(C28,2)="PI","Pipamas",""))))</f>
        <v>Elektrik</v>
      </c>
      <c r="C28" s="95" t="s">
        <v>52</v>
      </c>
      <c r="D28" s="103" t="s">
        <v>556</v>
      </c>
      <c r="E28" s="96">
        <v>44875</v>
      </c>
      <c r="F28" s="101"/>
      <c r="G28" s="8" t="str">
        <f>VLOOKUP(Table79101112133[[#This Row],[Februari]],'Clean Data HR'!$G$2:$H$102,2,0)</f>
        <v>PMB2211002</v>
      </c>
      <c r="H28" s="87" t="s">
        <v>54</v>
      </c>
      <c r="I28" s="88"/>
    </row>
    <row r="29" spans="1:9" x14ac:dyDescent="0.25">
      <c r="A29" s="102" t="s">
        <v>51</v>
      </c>
      <c r="B29" s="102" t="str">
        <f>IF(LEFT(C29,2)="EL","Elektrik",IF(LEFT(C29,2)="PP","Pipa Pompa",IF(LEFT(C29,2)="IC","ICI",IF(LEFT(C29,2)="PI","Pipamas",""))))</f>
        <v>Elektrik</v>
      </c>
      <c r="C29" s="95" t="s">
        <v>55</v>
      </c>
      <c r="D29" s="103" t="s">
        <v>557</v>
      </c>
      <c r="E29" s="96">
        <v>45414</v>
      </c>
      <c r="F29" s="101"/>
      <c r="G29" s="8" t="str">
        <f>VLOOKUP(Table79101112133[[#This Row],[Februari]],'Clean Data HR'!$G$2:$H$102,2,0)</f>
        <v>PMB2405002</v>
      </c>
      <c r="H29" s="87" t="s">
        <v>57</v>
      </c>
      <c r="I29" s="88"/>
    </row>
    <row r="30" spans="1:9" x14ac:dyDescent="0.25">
      <c r="A30" s="94" t="str">
        <f t="shared" si="0"/>
        <v>Bandung</v>
      </c>
      <c r="B30" s="94" t="str">
        <f t="shared" si="1"/>
        <v>ICI</v>
      </c>
      <c r="C30" s="95" t="s">
        <v>58</v>
      </c>
      <c r="D30" s="9" t="s">
        <v>558</v>
      </c>
      <c r="E30" s="96">
        <v>45139</v>
      </c>
      <c r="F30" s="96"/>
      <c r="G30" s="88" t="str">
        <f>VLOOKUP(Table79101112133[[#This Row],[Februari]],'Clean Data HR'!$G$2:$H$102,2,0)</f>
        <v>PMD2308002</v>
      </c>
      <c r="H30" s="88" t="s">
        <v>327</v>
      </c>
      <c r="I30" s="88"/>
    </row>
    <row r="31" spans="1:9" x14ac:dyDescent="0.25">
      <c r="A31" s="94" t="str">
        <f t="shared" si="0"/>
        <v>Bandung</v>
      </c>
      <c r="B31" s="94" t="str">
        <f t="shared" si="1"/>
        <v>ICI</v>
      </c>
      <c r="C31" s="95" t="s">
        <v>59</v>
      </c>
      <c r="D31" s="9" t="s">
        <v>60</v>
      </c>
      <c r="E31" s="96">
        <v>46057</v>
      </c>
      <c r="F31" s="96"/>
      <c r="G31" s="8" t="str">
        <f>VLOOKUP(Table79101112133[[#This Row],[Februari]],'Clean Data HR'!$G$2:$H$102,2,0)</f>
        <v>PMD2602002</v>
      </c>
      <c r="H31" s="87" t="s">
        <v>62</v>
      </c>
      <c r="I31" s="88" t="s">
        <v>648</v>
      </c>
    </row>
    <row r="32" spans="1:9" x14ac:dyDescent="0.25">
      <c r="A32" s="94" t="str">
        <f t="shared" si="0"/>
        <v>Bandung</v>
      </c>
      <c r="B32" s="94" t="str">
        <f t="shared" si="1"/>
        <v>ICI</v>
      </c>
      <c r="C32" s="95" t="s">
        <v>63</v>
      </c>
      <c r="D32" s="9" t="s">
        <v>559</v>
      </c>
      <c r="E32" s="96">
        <v>44732</v>
      </c>
      <c r="F32" s="96"/>
      <c r="G32" s="88" t="str">
        <f>VLOOKUP(Table79101112133[[#This Row],[Februari]],'Clean Data HR'!$G$2:$H$102,2,0)</f>
        <v>PMD2206002</v>
      </c>
      <c r="H32" s="88" t="s">
        <v>623</v>
      </c>
      <c r="I32" s="88"/>
    </row>
    <row r="33" spans="1:9" x14ac:dyDescent="0.25">
      <c r="A33" s="94" t="str">
        <f t="shared" si="0"/>
        <v>Bandung</v>
      </c>
      <c r="B33" s="94" t="str">
        <f t="shared" si="1"/>
        <v>ICI</v>
      </c>
      <c r="C33" s="95" t="s">
        <v>65</v>
      </c>
      <c r="D33" s="9" t="s">
        <v>560</v>
      </c>
      <c r="E33" s="96">
        <v>44525</v>
      </c>
      <c r="F33" s="96"/>
      <c r="G33" s="88" t="str">
        <f>VLOOKUP(Table79101112133[[#This Row],[Februari]],'Clean Data HR'!$G$2:$H$102,2,0)</f>
        <v>PMD2111013</v>
      </c>
      <c r="H33" s="88" t="s">
        <v>624</v>
      </c>
      <c r="I33" s="88"/>
    </row>
    <row r="34" spans="1:9" x14ac:dyDescent="0.25">
      <c r="A34" s="94" t="str">
        <f t="shared" si="0"/>
        <v>Bandung</v>
      </c>
      <c r="B34" s="94" t="str">
        <f t="shared" si="1"/>
        <v>ICI</v>
      </c>
      <c r="C34" s="95" t="s">
        <v>66</v>
      </c>
      <c r="D34" s="88" t="s">
        <v>561</v>
      </c>
      <c r="E34" s="96">
        <v>43297</v>
      </c>
      <c r="F34" s="96"/>
      <c r="G34" s="8" t="s">
        <v>67</v>
      </c>
      <c r="H34" s="9">
        <v>2831431212</v>
      </c>
      <c r="I34" s="88"/>
    </row>
    <row r="35" spans="1:9" x14ac:dyDescent="0.25">
      <c r="A35" s="94" t="str">
        <f t="shared" si="0"/>
        <v>Bandung</v>
      </c>
      <c r="B35" s="94" t="str">
        <f t="shared" si="1"/>
        <v>ICI</v>
      </c>
      <c r="C35" s="95" t="s">
        <v>68</v>
      </c>
      <c r="D35" s="9" t="s">
        <v>562</v>
      </c>
      <c r="E35" s="96">
        <v>44533</v>
      </c>
      <c r="F35" s="96"/>
      <c r="G35" s="88" t="str">
        <f>VLOOKUP(Table79101112133[[#This Row],[Februari]],'Clean Data HR'!$G$2:$H$102,2,0)</f>
        <v>PMD2112004</v>
      </c>
      <c r="H35" s="88" t="s">
        <v>625</v>
      </c>
      <c r="I35" s="88"/>
    </row>
    <row r="36" spans="1:9" x14ac:dyDescent="0.25">
      <c r="A36" s="94" t="str">
        <f t="shared" si="0"/>
        <v>Bandung</v>
      </c>
      <c r="B36" s="94" t="str">
        <f t="shared" si="1"/>
        <v>ICI</v>
      </c>
      <c r="C36" s="95" t="s">
        <v>70</v>
      </c>
      <c r="D36" s="9" t="s">
        <v>563</v>
      </c>
      <c r="E36" s="96">
        <v>44572</v>
      </c>
      <c r="F36" s="96"/>
      <c r="G36" s="88" t="str">
        <f>VLOOKUP(Table79101112133[[#This Row],[Februari]],'Clean Data HR'!$G$2:$H$102,2,0)</f>
        <v>PMD2201008</v>
      </c>
      <c r="H36" s="88">
        <v>1760203960</v>
      </c>
      <c r="I36" s="88"/>
    </row>
    <row r="37" spans="1:9" x14ac:dyDescent="0.25">
      <c r="A37" s="94" t="str">
        <f t="shared" si="0"/>
        <v>Bandung</v>
      </c>
      <c r="B37" s="94" t="str">
        <f t="shared" si="1"/>
        <v>ICI</v>
      </c>
      <c r="C37" s="95" t="s">
        <v>70</v>
      </c>
      <c r="D37" s="9" t="s">
        <v>564</v>
      </c>
      <c r="E37" s="96">
        <v>46073</v>
      </c>
      <c r="F37" s="96"/>
      <c r="G37" s="88" t="str">
        <f>VLOOKUP(Table79101112133[[#This Row],[Februari]],'Clean Data HR'!$G$2:$H$102,2,0)</f>
        <v>PMD2602010</v>
      </c>
      <c r="H37" s="88" t="s">
        <v>73</v>
      </c>
      <c r="I37" s="88"/>
    </row>
    <row r="38" spans="1:9" ht="15.75" x14ac:dyDescent="0.25">
      <c r="A38" s="94" t="str">
        <f t="shared" si="0"/>
        <v>PCK</v>
      </c>
      <c r="B38" s="94" t="str">
        <f t="shared" si="1"/>
        <v>ICI</v>
      </c>
      <c r="C38" s="100" t="s">
        <v>74</v>
      </c>
      <c r="D38" s="9" t="s">
        <v>565</v>
      </c>
      <c r="E38" s="96">
        <v>44137</v>
      </c>
      <c r="F38" s="96"/>
      <c r="G38" s="88" t="str">
        <f>VLOOKUP(Table79101112133[[#This Row],[Februari]],'Clean Data HR'!$G$2:$H$102,2,0)</f>
        <v>PMK2011003</v>
      </c>
      <c r="H38" s="88">
        <v>3780397925</v>
      </c>
      <c r="I38" s="88"/>
    </row>
    <row r="39" spans="1:9" ht="15.75" x14ac:dyDescent="0.25">
      <c r="A39" s="94" t="str">
        <f t="shared" si="0"/>
        <v>PCK</v>
      </c>
      <c r="B39" s="94" t="str">
        <f t="shared" si="1"/>
        <v>ICI</v>
      </c>
      <c r="C39" s="100" t="s">
        <v>76</v>
      </c>
      <c r="D39" s="9" t="s">
        <v>566</v>
      </c>
      <c r="E39" s="96">
        <v>45894</v>
      </c>
      <c r="F39" s="96"/>
      <c r="G39" s="88" t="str">
        <f>VLOOKUP(Table79101112133[[#This Row],[Februari]],'Clean Data HR'!$G$2:$H$102,2,0)</f>
        <v>PMD2508008</v>
      </c>
      <c r="H39" s="88" t="s">
        <v>409</v>
      </c>
      <c r="I39" s="88"/>
    </row>
    <row r="40" spans="1:9" ht="15.75" x14ac:dyDescent="0.25">
      <c r="A40" s="94" t="str">
        <f t="shared" si="0"/>
        <v>PCK</v>
      </c>
      <c r="B40" s="94" t="str">
        <f t="shared" si="1"/>
        <v>ICI</v>
      </c>
      <c r="C40" s="100" t="s">
        <v>78</v>
      </c>
      <c r="D40" s="9" t="s">
        <v>567</v>
      </c>
      <c r="E40" s="96">
        <v>43349</v>
      </c>
      <c r="F40" s="96"/>
      <c r="G40" s="88" t="str">
        <f>VLOOKUP(Table79101112133[[#This Row],[Februari]],'Clean Data HR'!$G$2:$H$102,2,0)</f>
        <v>PMK1809003</v>
      </c>
      <c r="H40" s="88" t="s">
        <v>396</v>
      </c>
      <c r="I40" s="88"/>
    </row>
    <row r="41" spans="1:9" ht="15.75" x14ac:dyDescent="0.25">
      <c r="A41" s="94" t="str">
        <f t="shared" si="0"/>
        <v>PCK</v>
      </c>
      <c r="B41" s="94" t="str">
        <f t="shared" si="1"/>
        <v>ICI</v>
      </c>
      <c r="C41" s="100" t="s">
        <v>80</v>
      </c>
      <c r="D41" s="9" t="s">
        <v>568</v>
      </c>
      <c r="E41" s="96">
        <v>43332</v>
      </c>
      <c r="F41" s="96"/>
      <c r="G41" s="88" t="s">
        <v>626</v>
      </c>
      <c r="H41" s="88" t="s">
        <v>627</v>
      </c>
      <c r="I41" s="88"/>
    </row>
    <row r="42" spans="1:9" x14ac:dyDescent="0.25">
      <c r="A42" s="94" t="str">
        <f t="shared" si="0"/>
        <v>Tasik</v>
      </c>
      <c r="B42" s="94" t="str">
        <f t="shared" si="1"/>
        <v>ICI</v>
      </c>
      <c r="C42" s="99" t="s">
        <v>81</v>
      </c>
      <c r="D42" s="9" t="s">
        <v>569</v>
      </c>
      <c r="E42" s="96">
        <v>44533</v>
      </c>
      <c r="F42" s="96"/>
      <c r="G42" s="88" t="str">
        <f>VLOOKUP(Table79101112133[[#This Row],[Februari]],'Clean Data HR'!$G$2:$H$102,2,0)</f>
        <v>PMT2112005</v>
      </c>
      <c r="H42" s="88" t="s">
        <v>521</v>
      </c>
      <c r="I42" s="88"/>
    </row>
    <row r="43" spans="1:9" x14ac:dyDescent="0.25">
      <c r="A43" s="94" t="str">
        <f t="shared" si="0"/>
        <v>Tasik</v>
      </c>
      <c r="B43" s="94" t="str">
        <f t="shared" si="1"/>
        <v>ICI</v>
      </c>
      <c r="C43" s="99" t="s">
        <v>82</v>
      </c>
      <c r="D43" s="9" t="s">
        <v>570</v>
      </c>
      <c r="E43" s="96">
        <v>44781</v>
      </c>
      <c r="F43" s="96"/>
      <c r="G43" s="88" t="str">
        <f>VLOOKUP(Table79101112133[[#This Row],[Februari]],'Clean Data HR'!$G$2:$H$102,2,0)</f>
        <v>PMT2208001</v>
      </c>
      <c r="H43" s="88">
        <v>3210939872</v>
      </c>
      <c r="I43" s="88"/>
    </row>
    <row r="44" spans="1:9" x14ac:dyDescent="0.25">
      <c r="A44" s="94" t="str">
        <f t="shared" si="0"/>
        <v>Tasik</v>
      </c>
      <c r="B44" s="94" t="str">
        <f t="shared" si="1"/>
        <v>ICI</v>
      </c>
      <c r="C44" s="99" t="s">
        <v>83</v>
      </c>
      <c r="D44" s="9" t="s">
        <v>571</v>
      </c>
      <c r="E44" s="96">
        <v>45824</v>
      </c>
      <c r="F44" s="96"/>
      <c r="G44" s="88" t="str">
        <f>VLOOKUP(Table79101112133[[#This Row],[Februari]],'Clean Data HR'!$G$2:$H$102,2,0)</f>
        <v>PMT2506002</v>
      </c>
      <c r="H44" s="88" t="s">
        <v>524</v>
      </c>
      <c r="I44" s="88"/>
    </row>
    <row r="45" spans="1:9" ht="15.75" x14ac:dyDescent="0.25">
      <c r="A45" s="94" t="s">
        <v>51</v>
      </c>
      <c r="B45" s="94" t="str">
        <f t="shared" si="1"/>
        <v>ICI</v>
      </c>
      <c r="C45" s="100" t="s">
        <v>84</v>
      </c>
      <c r="D45" s="9" t="s">
        <v>572</v>
      </c>
      <c r="E45" s="96">
        <v>45817</v>
      </c>
      <c r="F45" s="96"/>
      <c r="G45" s="88" t="str">
        <f>VLOOKUP(Table79101112133[[#This Row],[Februari]],'Clean Data HR'!$G$2:$H$102,2,0)</f>
        <v>PMB2506001</v>
      </c>
      <c r="H45" s="88" t="s">
        <v>338</v>
      </c>
      <c r="I45" s="88"/>
    </row>
    <row r="46" spans="1:9" ht="15.75" x14ac:dyDescent="0.25">
      <c r="A46" s="94" t="str">
        <f t="shared" si="0"/>
        <v>Bogor</v>
      </c>
      <c r="B46" s="94" t="str">
        <f t="shared" si="1"/>
        <v>ICI</v>
      </c>
      <c r="C46" s="100" t="s">
        <v>86</v>
      </c>
      <c r="D46" s="9" t="s">
        <v>573</v>
      </c>
      <c r="E46" s="96">
        <v>45426</v>
      </c>
      <c r="F46" s="96"/>
      <c r="G46" s="88" t="str">
        <f>VLOOKUP(Table79101112133[[#This Row],[Februari]],'Clean Data HR'!$G$2:$H$102,2,0)</f>
        <v>PMB2405006</v>
      </c>
      <c r="H46" s="88" t="s">
        <v>346</v>
      </c>
      <c r="I46" s="88"/>
    </row>
    <row r="47" spans="1:9" ht="15.75" x14ac:dyDescent="0.25">
      <c r="A47" s="94" t="str">
        <f t="shared" si="0"/>
        <v>Bogor</v>
      </c>
      <c r="B47" s="94" t="str">
        <f t="shared" si="1"/>
        <v>ICI</v>
      </c>
      <c r="C47" s="100" t="s">
        <v>87</v>
      </c>
      <c r="D47" s="9" t="s">
        <v>574</v>
      </c>
      <c r="E47" s="96">
        <v>45616</v>
      </c>
      <c r="F47" s="96"/>
      <c r="G47" s="88" t="str">
        <f>VLOOKUP(Table79101112133[[#This Row],[Februari]],'Clean Data HR'!$G$2:$H$102,2,0)</f>
        <v>PMB2411002</v>
      </c>
      <c r="H47" s="88" t="s">
        <v>349</v>
      </c>
      <c r="I47" s="88"/>
    </row>
    <row r="48" spans="1:9" ht="15.75" x14ac:dyDescent="0.25">
      <c r="A48" s="94" t="str">
        <f t="shared" si="0"/>
        <v>Bogor</v>
      </c>
      <c r="B48" s="94" t="str">
        <f t="shared" si="1"/>
        <v>ICI</v>
      </c>
      <c r="C48" s="100" t="s">
        <v>88</v>
      </c>
      <c r="D48" s="9" t="s">
        <v>575</v>
      </c>
      <c r="E48" s="96">
        <v>44341</v>
      </c>
      <c r="F48" s="96"/>
      <c r="G48" s="88" t="str">
        <f>VLOOKUP(Table79101112133[[#This Row],[Februari]],'Clean Data HR'!$G$2:$H$102,2,0)</f>
        <v>PMB2105004</v>
      </c>
      <c r="H48" s="88">
        <v>8720710197</v>
      </c>
      <c r="I48" s="88"/>
    </row>
    <row r="49" spans="1:9" ht="15.75" x14ac:dyDescent="0.25">
      <c r="A49" s="94" t="str">
        <f t="shared" si="0"/>
        <v>Bogor</v>
      </c>
      <c r="B49" s="94" t="str">
        <f t="shared" si="1"/>
        <v>ICI</v>
      </c>
      <c r="C49" s="100" t="s">
        <v>89</v>
      </c>
      <c r="D49" s="9" t="s">
        <v>605</v>
      </c>
      <c r="E49" s="96">
        <v>43731</v>
      </c>
      <c r="F49" s="96"/>
      <c r="G49" s="88" t="str">
        <f>VLOOKUP(Table79101112133[[#This Row],[Februari]],'Clean Data HR'!$G$2:$H$102,2,0)</f>
        <v>PMB1909012</v>
      </c>
      <c r="H49" s="88">
        <v>3370017751</v>
      </c>
      <c r="I49" s="88"/>
    </row>
    <row r="50" spans="1:9" ht="15.75" x14ac:dyDescent="0.25">
      <c r="A50" s="94" t="str">
        <f t="shared" si="0"/>
        <v>Bogor</v>
      </c>
      <c r="B50" s="94" t="str">
        <f t="shared" si="1"/>
        <v>ICI</v>
      </c>
      <c r="C50" s="100" t="s">
        <v>90</v>
      </c>
      <c r="D50" s="9" t="s">
        <v>576</v>
      </c>
      <c r="E50" s="96">
        <v>0</v>
      </c>
      <c r="F50" s="96"/>
      <c r="G50" s="88" t="e">
        <f>VLOOKUP(Table79101112133[[#This Row],[Februari]],'Clean Data HR'!$G$2:$H$102,2,0)</f>
        <v>#N/A</v>
      </c>
      <c r="H50" s="88">
        <v>0</v>
      </c>
      <c r="I50" s="88"/>
    </row>
    <row r="51" spans="1:9" x14ac:dyDescent="0.25">
      <c r="A51" s="102" t="s">
        <v>51</v>
      </c>
      <c r="B51" s="102" t="str">
        <f>IF(LEFT(C51,2)="EL","Elektrik",IF(LEFT(C51,2)="PP","Pipa Pompa",IF(LEFT(C51,2)="IC","ICI",IF(LEFT(C51,2)="PI","Pipamas",""))))</f>
        <v>ICI</v>
      </c>
      <c r="C51" s="95" t="s">
        <v>91</v>
      </c>
      <c r="D51" s="88" t="s">
        <v>92</v>
      </c>
      <c r="E51" s="96">
        <v>45901</v>
      </c>
      <c r="F51" s="101"/>
      <c r="G51" s="88" t="str">
        <f>VLOOKUP(Table79101112133[[#This Row],[Februari]],'Clean Data HR'!$G$2:$H$102,2,0)</f>
        <v>PMD2509001</v>
      </c>
      <c r="H51" s="87" t="s">
        <v>94</v>
      </c>
      <c r="I51" s="88"/>
    </row>
    <row r="52" spans="1:9" x14ac:dyDescent="0.25">
      <c r="A52" s="102" t="str">
        <f>IF(LEFT(RIGHT(C52,2),1)="0","Bandung",IF(LEFT(RIGHT(C52,2),1)="2","PCK",IF(LEFT(RIGHT(C52,2),1)="6","Cirebon",IF(LEFT(RIGHT(C52,2),1)="7","Tasik",IF(LEFT(RIGHT(C52,2),1)="8","Bogor","")))))</f>
        <v>Bandung</v>
      </c>
      <c r="B52" s="102" t="str">
        <f>IF(LEFT(C52,2)="EL","Elektrik",IF(LEFT(C52,2)="PP","Pipa Pompa",IF(LEFT(C52,2)="IC","ICI",IF(LEFT(C52,2)="PI","Pipamas",""))))</f>
        <v>Pipamas</v>
      </c>
      <c r="C52" s="121" t="s">
        <v>649</v>
      </c>
      <c r="D52" s="121" t="s">
        <v>650</v>
      </c>
      <c r="E52" s="96"/>
      <c r="F52" s="101"/>
      <c r="G52" s="86" t="s">
        <v>651</v>
      </c>
      <c r="H52" s="86">
        <v>4532128815</v>
      </c>
      <c r="I52" s="88"/>
    </row>
    <row r="53" spans="1:9" ht="15.75" x14ac:dyDescent="0.25">
      <c r="A53" s="94" t="str">
        <f t="shared" si="0"/>
        <v>Bandung</v>
      </c>
      <c r="B53" s="94" t="str">
        <f t="shared" si="1"/>
        <v>Pipamas</v>
      </c>
      <c r="C53" s="100" t="s">
        <v>95</v>
      </c>
      <c r="D53" s="9" t="s">
        <v>96</v>
      </c>
      <c r="E53" s="96">
        <v>45896</v>
      </c>
      <c r="F53" s="96"/>
      <c r="G53" s="88" t="str">
        <f>VLOOKUP(Table79101112133[[#This Row],[Februari]],'Clean Data HR'!$G$2:$H$102,2,0)</f>
        <v>PMD2508010</v>
      </c>
      <c r="H53" s="88" t="s">
        <v>266</v>
      </c>
      <c r="I53" s="88"/>
    </row>
    <row r="54" spans="1:9" ht="15.75" x14ac:dyDescent="0.25">
      <c r="A54" s="94" t="str">
        <f t="shared" si="0"/>
        <v>Bandung</v>
      </c>
      <c r="B54" s="94" t="str">
        <f t="shared" si="1"/>
        <v>Pipamas</v>
      </c>
      <c r="C54" s="100" t="s">
        <v>97</v>
      </c>
      <c r="D54" s="9" t="s">
        <v>577</v>
      </c>
      <c r="E54" s="96">
        <v>45904</v>
      </c>
      <c r="F54" s="96"/>
      <c r="G54" s="88" t="str">
        <f>VLOOKUP(Table79101112133[[#This Row],[Februari]],'Clean Data HR'!$G$2:$H$102,2,0)</f>
        <v>PMD2509003</v>
      </c>
      <c r="H54" s="88" t="s">
        <v>269</v>
      </c>
      <c r="I54" s="88"/>
    </row>
    <row r="55" spans="1:9" ht="15.75" x14ac:dyDescent="0.25">
      <c r="A55" s="94" t="str">
        <f t="shared" si="0"/>
        <v>Bandung</v>
      </c>
      <c r="B55" s="94" t="str">
        <f t="shared" si="1"/>
        <v>Pipamas</v>
      </c>
      <c r="C55" s="100" t="s">
        <v>99</v>
      </c>
      <c r="D55" s="9" t="s">
        <v>576</v>
      </c>
      <c r="E55" s="96">
        <v>0</v>
      </c>
      <c r="F55" s="96"/>
      <c r="G55" s="88" t="e">
        <f>VLOOKUP(Table79101112133[[#This Row],[Februari]],'Clean Data HR'!$G$2:$H$102,2,0)</f>
        <v>#N/A</v>
      </c>
      <c r="H55" s="88">
        <v>0</v>
      </c>
      <c r="I55" s="88"/>
    </row>
    <row r="56" spans="1:9" ht="15.75" x14ac:dyDescent="0.25">
      <c r="A56" s="94" t="str">
        <f t="shared" si="0"/>
        <v>Bandung</v>
      </c>
      <c r="B56" s="94" t="str">
        <f t="shared" si="1"/>
        <v>Pipamas</v>
      </c>
      <c r="C56" s="100" t="s">
        <v>100</v>
      </c>
      <c r="D56" s="9" t="s">
        <v>578</v>
      </c>
      <c r="E56" s="96" t="s">
        <v>628</v>
      </c>
      <c r="F56" s="96"/>
      <c r="G56" s="88" t="str">
        <f>VLOOKUP(Table79101112133[[#This Row],[Februari]],'Clean Data HR'!$G$2:$H$102,2,0)</f>
        <v>PMD2503004</v>
      </c>
      <c r="H56" s="114">
        <v>1560108695</v>
      </c>
      <c r="I56" s="88"/>
    </row>
    <row r="57" spans="1:9" ht="15.75" x14ac:dyDescent="0.25">
      <c r="A57" s="94" t="str">
        <f t="shared" si="0"/>
        <v>Bandung</v>
      </c>
      <c r="B57" s="94" t="str">
        <f t="shared" si="1"/>
        <v>Pipamas</v>
      </c>
      <c r="C57" s="100" t="s">
        <v>101</v>
      </c>
      <c r="D57" s="9" t="s">
        <v>576</v>
      </c>
      <c r="E57" s="96">
        <v>0</v>
      </c>
      <c r="F57" s="96"/>
      <c r="G57" s="88" t="e">
        <f>VLOOKUP(Table79101112133[[#This Row],[Februari]],'Clean Data HR'!$G$2:$H$102,2,0)</f>
        <v>#N/A</v>
      </c>
      <c r="H57" s="88">
        <v>0</v>
      </c>
      <c r="I57" s="88"/>
    </row>
    <row r="58" spans="1:9" ht="15.75" x14ac:dyDescent="0.25">
      <c r="A58" s="94" t="str">
        <f t="shared" si="0"/>
        <v>Bandung</v>
      </c>
      <c r="B58" s="94" t="str">
        <f t="shared" si="1"/>
        <v>Pipamas</v>
      </c>
      <c r="C58" s="100" t="s">
        <v>102</v>
      </c>
      <c r="D58" s="9" t="s">
        <v>601</v>
      </c>
      <c r="E58" s="96">
        <v>45727</v>
      </c>
      <c r="F58" s="96"/>
      <c r="G58" s="88" t="str">
        <f>VLOOKUP(Table79101112133[[#This Row],[Februari]],'Clean Data HR'!$G$2:$H$102,2,0)</f>
        <v>PMD2503003</v>
      </c>
      <c r="H58" s="88" t="s">
        <v>254</v>
      </c>
      <c r="I58" s="88"/>
    </row>
    <row r="59" spans="1:9" x14ac:dyDescent="0.25">
      <c r="A59" s="94" t="str">
        <f t="shared" si="0"/>
        <v>Bandung</v>
      </c>
      <c r="B59" s="94" t="str">
        <f t="shared" si="1"/>
        <v>Pipamas</v>
      </c>
      <c r="C59" s="95" t="s">
        <v>103</v>
      </c>
      <c r="D59" s="9" t="s">
        <v>579</v>
      </c>
      <c r="E59" s="96">
        <v>44858</v>
      </c>
      <c r="F59" s="96"/>
      <c r="G59" s="88" t="str">
        <f>VLOOKUP(Table79101112133[[#This Row],[Februari]],'Clean Data HR'!$G$2:$H$102,2,0)</f>
        <v>PMD2210008</v>
      </c>
      <c r="H59" s="88" t="s">
        <v>252</v>
      </c>
      <c r="I59" s="88"/>
    </row>
    <row r="60" spans="1:9" x14ac:dyDescent="0.25">
      <c r="A60" s="94" t="str">
        <f t="shared" si="0"/>
        <v>Bandung</v>
      </c>
      <c r="B60" s="94" t="str">
        <f t="shared" si="1"/>
        <v>Pipamas</v>
      </c>
      <c r="C60" s="95" t="s">
        <v>105</v>
      </c>
      <c r="D60" s="9" t="s">
        <v>580</v>
      </c>
      <c r="E60" s="96">
        <v>45792</v>
      </c>
      <c r="F60" s="96"/>
      <c r="G60" s="88" t="str">
        <f>VLOOKUP(Table79101112133[[#This Row],[Februari]],'Clean Data HR'!$G$2:$H$102,2,0)</f>
        <v>PMD2109007</v>
      </c>
      <c r="H60" s="88">
        <v>2831290783</v>
      </c>
      <c r="I60" s="88"/>
    </row>
    <row r="61" spans="1:9" x14ac:dyDescent="0.25">
      <c r="A61" s="94" t="str">
        <f t="shared" si="0"/>
        <v>Bandung</v>
      </c>
      <c r="B61" s="94" t="str">
        <f t="shared" si="1"/>
        <v>Pipamas</v>
      </c>
      <c r="C61" s="95" t="s">
        <v>107</v>
      </c>
      <c r="D61" s="9" t="s">
        <v>108</v>
      </c>
      <c r="E61" s="96">
        <v>45887</v>
      </c>
      <c r="F61" s="96"/>
      <c r="G61" s="88" t="str">
        <f>VLOOKUP(Table79101112133[[#This Row],[Februari]],'Clean Data HR'!$G$2:$H$102,2,0)</f>
        <v>PMD2508004</v>
      </c>
      <c r="H61" s="88" t="s">
        <v>263</v>
      </c>
      <c r="I61" s="88"/>
    </row>
    <row r="62" spans="1:9" x14ac:dyDescent="0.25">
      <c r="A62" s="94" t="s">
        <v>109</v>
      </c>
      <c r="B62" s="94" t="str">
        <f t="shared" si="1"/>
        <v>Pipamas</v>
      </c>
      <c r="C62" s="95" t="s">
        <v>110</v>
      </c>
      <c r="D62" s="9" t="s">
        <v>602</v>
      </c>
      <c r="E62" s="96">
        <v>45792</v>
      </c>
      <c r="F62" s="96"/>
      <c r="G62" s="88" t="str">
        <f>VLOOKUP(Table79101112133[[#This Row],[Februari]],'Clean Data HR'!$G$2:$H$102,2,0)</f>
        <v>PMD2505002</v>
      </c>
      <c r="H62" s="88" t="s">
        <v>260</v>
      </c>
      <c r="I62" s="88"/>
    </row>
    <row r="63" spans="1:9" x14ac:dyDescent="0.25">
      <c r="A63" s="94" t="s">
        <v>109</v>
      </c>
      <c r="B63" s="94" t="str">
        <f t="shared" si="1"/>
        <v>Pipamas</v>
      </c>
      <c r="C63" s="95" t="s">
        <v>111</v>
      </c>
      <c r="D63" s="104" t="s">
        <v>581</v>
      </c>
      <c r="E63" s="96">
        <v>45996</v>
      </c>
      <c r="F63" s="101"/>
      <c r="G63" s="8" t="str">
        <f>VLOOKUP(Table79101112133[[#This Row],[Februari]],'Clean Data HR'!$G$2:$H$102,2,0)</f>
        <v>PMD2512003</v>
      </c>
      <c r="H63" s="87" t="s">
        <v>114</v>
      </c>
      <c r="I63" s="88"/>
    </row>
    <row r="64" spans="1:9" x14ac:dyDescent="0.25">
      <c r="A64" s="102" t="str">
        <f>IF(LEFT(RIGHT(C64,2),1)="0","Bandung",IF(LEFT(RIGHT(C64,2),1)="2","PCK",IF(LEFT(RIGHT(C64,2),1)="6","Cirebon",IF(LEFT(RIGHT(C64,2),1)="7","Tasik",IF(LEFT(RIGHT(C64,2),1)="8","Bogor","")))))</f>
        <v>Bandung</v>
      </c>
      <c r="B64" s="102" t="str">
        <f>IF(LEFT(C64,2)="EL","Elektrik",IF(LEFT(C64,2)="PP","Pipa Pompa",IF(LEFT(C64,2)="IC","ICI",IF(LEFT(C64,2)="PI","Pipamas",""))))</f>
        <v>Pipamas</v>
      </c>
      <c r="C64" s="95" t="s">
        <v>115</v>
      </c>
      <c r="D64" s="88" t="s">
        <v>116</v>
      </c>
      <c r="E64" s="96">
        <v>45169</v>
      </c>
      <c r="F64" s="101"/>
      <c r="G64" s="8" t="str">
        <f>VLOOKUP(Table79101112133[[#This Row],[Februari]],'Clean Data HR'!$G$2:$H$102,2,0)</f>
        <v>PMD2207003</v>
      </c>
      <c r="H64" s="87" t="s">
        <v>117</v>
      </c>
      <c r="I64" s="88"/>
    </row>
    <row r="65" spans="1:9" x14ac:dyDescent="0.25">
      <c r="A65" s="94" t="s">
        <v>109</v>
      </c>
      <c r="B65" s="94" t="str">
        <f t="shared" si="1"/>
        <v>Pipamas</v>
      </c>
      <c r="C65" s="95" t="s">
        <v>118</v>
      </c>
      <c r="D65" s="95" t="s">
        <v>119</v>
      </c>
      <c r="E65" s="96">
        <v>46000</v>
      </c>
      <c r="F65" s="96"/>
      <c r="G65" s="88" t="str">
        <f>VLOOKUP(Table79101112133[[#This Row],[Februari]],'Clean Data HR'!$G$2:$H$102,2,0)</f>
        <v>PMD2512006</v>
      </c>
      <c r="H65" s="88" t="s">
        <v>630</v>
      </c>
      <c r="I65" s="88"/>
    </row>
    <row r="66" spans="1:9" ht="15.75" x14ac:dyDescent="0.25">
      <c r="A66" s="94" t="str">
        <f t="shared" ref="A66:A106" si="2">IF(LEFT(RIGHT(C66,2),1)="0","Bandung",IF(LEFT(RIGHT(C66,2),1)="2","PCK",IF(LEFT(RIGHT(C66,2),1)="6","Cirebon",IF(LEFT(RIGHT(C66,2),1)="7","Tasik",IF(LEFT(RIGHT(C66,2),1)="8","Bogor","")))))</f>
        <v>PCK</v>
      </c>
      <c r="B66" s="94" t="str">
        <f t="shared" si="1"/>
        <v>Pipamas</v>
      </c>
      <c r="C66" s="100" t="s">
        <v>120</v>
      </c>
      <c r="D66" s="95" t="s">
        <v>582</v>
      </c>
      <c r="E66" s="96">
        <v>45104</v>
      </c>
      <c r="F66" s="96"/>
      <c r="G66" s="88" t="str">
        <f>VLOOKUP(Table79101112133[[#This Row],[Februari]],'Clean Data HR'!$G$2:$H$102,2,0)</f>
        <v>PMK2306002</v>
      </c>
      <c r="H66" s="88" t="s">
        <v>403</v>
      </c>
      <c r="I66" s="88"/>
    </row>
    <row r="67" spans="1:9" x14ac:dyDescent="0.25">
      <c r="A67" s="94" t="str">
        <f t="shared" si="2"/>
        <v>Cirebon</v>
      </c>
      <c r="B67" s="94" t="str">
        <f t="shared" si="1"/>
        <v>Pipamas</v>
      </c>
      <c r="C67" s="95" t="s">
        <v>122</v>
      </c>
      <c r="D67" s="95" t="s">
        <v>124</v>
      </c>
      <c r="E67" s="96">
        <v>45841</v>
      </c>
      <c r="F67" s="96"/>
      <c r="G67" s="88" t="str">
        <f>VLOOKUP(Table79101112133[[#This Row],[Februari]],'Clean Data HR'!$G$2:$H$102,2,0)</f>
        <v>PMC2507001</v>
      </c>
      <c r="H67" s="88" t="s">
        <v>444</v>
      </c>
      <c r="I67" s="88"/>
    </row>
    <row r="68" spans="1:9" x14ac:dyDescent="0.25">
      <c r="A68" s="94" t="str">
        <f t="shared" si="2"/>
        <v>Cirebon</v>
      </c>
      <c r="B68" s="94" t="str">
        <f t="shared" si="1"/>
        <v>Pipamas</v>
      </c>
      <c r="C68" s="95" t="s">
        <v>125</v>
      </c>
      <c r="D68" s="95" t="s">
        <v>127</v>
      </c>
      <c r="E68" s="96">
        <v>45824</v>
      </c>
      <c r="F68" s="96"/>
      <c r="G68" s="88" t="str">
        <f>VLOOKUP(Table79101112133[[#This Row],[Februari]],'Clean Data HR'!$G$2:$H$102,2,0)</f>
        <v>PMC2506002</v>
      </c>
      <c r="H68" s="88" t="s">
        <v>441</v>
      </c>
      <c r="I68" s="88"/>
    </row>
    <row r="69" spans="1:9" x14ac:dyDescent="0.25">
      <c r="A69" s="94" t="str">
        <f t="shared" si="2"/>
        <v>Cirebon</v>
      </c>
      <c r="B69" s="94" t="str">
        <f t="shared" si="1"/>
        <v>Pipamas</v>
      </c>
      <c r="C69" s="95" t="s">
        <v>128</v>
      </c>
      <c r="D69" s="95" t="s">
        <v>130</v>
      </c>
      <c r="E69" s="96">
        <v>45873</v>
      </c>
      <c r="F69" s="96"/>
      <c r="G69" s="88" t="str">
        <f>VLOOKUP(Table79101112133[[#This Row],[Februari]],'Clean Data HR'!$G$2:$H$102,2,0)</f>
        <v>PMC2508001</v>
      </c>
      <c r="H69" s="88" t="s">
        <v>446</v>
      </c>
      <c r="I69" s="88"/>
    </row>
    <row r="70" spans="1:9" x14ac:dyDescent="0.25">
      <c r="A70" s="94" t="str">
        <f t="shared" si="2"/>
        <v>Tasik</v>
      </c>
      <c r="B70" s="94" t="str">
        <f t="shared" si="1"/>
        <v>Pipamas</v>
      </c>
      <c r="C70" s="95" t="s">
        <v>131</v>
      </c>
      <c r="D70" s="88" t="s">
        <v>583</v>
      </c>
      <c r="E70" s="96">
        <v>44835</v>
      </c>
      <c r="F70" s="96"/>
      <c r="G70" s="88" t="str">
        <f>VLOOKUP(Table79101112133[[#This Row],[Februari]],'Clean Data HR'!$G$2:$H$102,2,0)</f>
        <v>PMT2209002</v>
      </c>
      <c r="H70" s="88">
        <v>2030529947</v>
      </c>
      <c r="I70" s="88"/>
    </row>
    <row r="71" spans="1:9" x14ac:dyDescent="0.25">
      <c r="A71" s="94" t="str">
        <f t="shared" si="2"/>
        <v>Tasik</v>
      </c>
      <c r="B71" s="94" t="str">
        <f t="shared" si="1"/>
        <v>Pipamas</v>
      </c>
      <c r="C71" s="95" t="s">
        <v>133</v>
      </c>
      <c r="D71" s="88" t="s">
        <v>584</v>
      </c>
      <c r="E71" s="96">
        <v>46064</v>
      </c>
      <c r="F71" s="96"/>
      <c r="G71" s="88" t="str">
        <f>VLOOKUP(Table79101112133[[#This Row],[Februari]],'Clean Data HR'!$G$2:$H$102,2,0)</f>
        <v>PMD2602006</v>
      </c>
      <c r="H71" s="88" t="s">
        <v>136</v>
      </c>
      <c r="I71" s="95" t="s">
        <v>652</v>
      </c>
    </row>
    <row r="72" spans="1:9" x14ac:dyDescent="0.25">
      <c r="A72" s="94" t="str">
        <f t="shared" si="2"/>
        <v>Tasik</v>
      </c>
      <c r="B72" s="94" t="str">
        <f t="shared" si="1"/>
        <v>Pipamas</v>
      </c>
      <c r="C72" s="95" t="s">
        <v>137</v>
      </c>
      <c r="D72" s="95" t="s">
        <v>611</v>
      </c>
      <c r="E72" s="96">
        <v>45803</v>
      </c>
      <c r="F72" s="96"/>
      <c r="G72" s="88" t="str">
        <f>VLOOKUP(Table79101112133[[#This Row],[Februari]],'Clean Data HR'!$G$2:$H$102,2,0)</f>
        <v>PMT2505001</v>
      </c>
      <c r="H72" s="88" t="s">
        <v>472</v>
      </c>
      <c r="I72" s="88"/>
    </row>
    <row r="73" spans="1:9" x14ac:dyDescent="0.25">
      <c r="A73" s="94" t="str">
        <f t="shared" si="2"/>
        <v>Tasik</v>
      </c>
      <c r="B73" s="94" t="str">
        <f t="shared" si="1"/>
        <v>Pipamas</v>
      </c>
      <c r="C73" s="95" t="s">
        <v>138</v>
      </c>
      <c r="D73" s="88" t="s">
        <v>139</v>
      </c>
      <c r="E73" s="96">
        <v>46069</v>
      </c>
      <c r="F73" s="96"/>
      <c r="G73" s="88" t="str">
        <f>VLOOKUP(Table79101112133[[#This Row],[Februari]],'Clean Data HR'!$G$2:$H$102,2,0)</f>
        <v>PMD2602009</v>
      </c>
      <c r="H73" s="88" t="s">
        <v>141</v>
      </c>
      <c r="I73" s="88"/>
    </row>
    <row r="74" spans="1:9" x14ac:dyDescent="0.25">
      <c r="A74" s="94" t="str">
        <f t="shared" si="2"/>
        <v>Tasik</v>
      </c>
      <c r="B74" s="94" t="str">
        <f t="shared" si="1"/>
        <v>Pipamas</v>
      </c>
      <c r="C74" s="95" t="s">
        <v>142</v>
      </c>
      <c r="D74" s="88" t="s">
        <v>576</v>
      </c>
      <c r="E74" s="96">
        <v>0</v>
      </c>
      <c r="F74" s="96"/>
      <c r="G74" s="88" t="e">
        <f>VLOOKUP(Table79101112133[[#This Row],[Februari]],'Clean Data HR'!$G$2:$H$102,2,0)</f>
        <v>#N/A</v>
      </c>
      <c r="H74" s="88">
        <v>0</v>
      </c>
      <c r="I74" s="88"/>
    </row>
    <row r="75" spans="1:9" x14ac:dyDescent="0.25">
      <c r="A75" s="94" t="str">
        <f t="shared" si="2"/>
        <v>Bogor</v>
      </c>
      <c r="B75" s="94" t="str">
        <f t="shared" si="1"/>
        <v>Pipamas</v>
      </c>
      <c r="C75" s="95" t="s">
        <v>143</v>
      </c>
      <c r="D75" s="88" t="s">
        <v>585</v>
      </c>
      <c r="E75" s="96">
        <v>44496</v>
      </c>
      <c r="F75" s="96"/>
      <c r="G75" s="88" t="str">
        <f>VLOOKUP(Table79101112133[[#This Row],[Februari]],'Clean Data HR'!$G$2:$H$102,2,0)</f>
        <v>PMB2110006</v>
      </c>
      <c r="H75" s="88">
        <v>8691144780</v>
      </c>
      <c r="I75" s="88"/>
    </row>
    <row r="76" spans="1:9" x14ac:dyDescent="0.25">
      <c r="A76" s="94" t="str">
        <f t="shared" si="2"/>
        <v>Bogor</v>
      </c>
      <c r="B76" s="94" t="str">
        <f t="shared" si="1"/>
        <v>Pipamas</v>
      </c>
      <c r="C76" s="95" t="s">
        <v>145</v>
      </c>
      <c r="D76" s="105" t="s">
        <v>586</v>
      </c>
      <c r="E76" s="40">
        <v>46021</v>
      </c>
      <c r="F76" s="96"/>
      <c r="G76" s="88" t="str">
        <f>VLOOKUP(Table79101112133[[#This Row],[Februari]],'Clean Data HR'!$G$2:$H$102,2,0)</f>
        <v>PMD2512012</v>
      </c>
      <c r="H76" s="87" t="s">
        <v>392</v>
      </c>
      <c r="I76" s="88"/>
    </row>
    <row r="77" spans="1:9" x14ac:dyDescent="0.25">
      <c r="A77" s="94" t="str">
        <f t="shared" si="2"/>
        <v>Bogor</v>
      </c>
      <c r="B77" s="94" t="str">
        <f t="shared" si="1"/>
        <v>Pipamas</v>
      </c>
      <c r="C77" s="95" t="s">
        <v>147</v>
      </c>
      <c r="D77" s="88" t="s">
        <v>587</v>
      </c>
      <c r="E77" s="96">
        <v>44903</v>
      </c>
      <c r="F77" s="96"/>
      <c r="G77" s="88" t="str">
        <f>VLOOKUP(Table79101112133[[#This Row],[Februari]],'Clean Data HR'!$G$2:$H$102,2,0)</f>
        <v>PMB2212003</v>
      </c>
      <c r="H77" s="88" t="s">
        <v>388</v>
      </c>
      <c r="I77" s="88"/>
    </row>
    <row r="78" spans="1:9" x14ac:dyDescent="0.25">
      <c r="A78" s="94" t="str">
        <f t="shared" si="2"/>
        <v>Bogor</v>
      </c>
      <c r="B78" s="94" t="str">
        <f t="shared" si="1"/>
        <v>Pipamas</v>
      </c>
      <c r="C78" s="95" t="s">
        <v>149</v>
      </c>
      <c r="D78" s="88" t="s">
        <v>588</v>
      </c>
      <c r="E78" s="96">
        <v>45944</v>
      </c>
      <c r="F78" s="96"/>
      <c r="G78" s="88" t="str">
        <f>VLOOKUP(Table79101112133[[#This Row],[Februari]],'Clean Data HR'!$G$2:$H$102,2,0)</f>
        <v>PMD2510002</v>
      </c>
      <c r="H78" s="88" t="s">
        <v>390</v>
      </c>
      <c r="I78" s="88"/>
    </row>
    <row r="79" spans="1:9" x14ac:dyDescent="0.25">
      <c r="A79" s="94" t="str">
        <f t="shared" si="2"/>
        <v>Bogor</v>
      </c>
      <c r="B79" s="94" t="str">
        <f t="shared" ref="B79:B108" si="3">IF(LEFT(C79,2)="EL","Elektrik",IF(LEFT(C79,2)="PP","Pipa Pompa",IF(LEFT(C79,2)="IC","ICI",IF(LEFT(C79,2)="PI","Pipamas",""))))</f>
        <v>Pipamas</v>
      </c>
      <c r="C79" s="95" t="s">
        <v>151</v>
      </c>
      <c r="D79" s="88" t="s">
        <v>576</v>
      </c>
      <c r="E79" s="96">
        <v>0</v>
      </c>
      <c r="F79" s="96"/>
      <c r="G79" s="88" t="e">
        <f>VLOOKUP(Table79101112133[[#This Row],[Februari]],'Clean Data HR'!$G$2:$H$102,2,0)</f>
        <v>#N/A</v>
      </c>
      <c r="H79" s="88">
        <v>0</v>
      </c>
      <c r="I79" s="88"/>
    </row>
    <row r="80" spans="1:9" x14ac:dyDescent="0.25">
      <c r="A80" s="102" t="str">
        <f>IF(LEFT(RIGHT(C80,2),1)="0","Bandung",IF(LEFT(RIGHT(C80,2),1)="2","PCK",IF(LEFT(RIGHT(C80,2),1)="6","Cirebon",IF(LEFT(RIGHT(C80,2),1)="7","Tasik",IF(LEFT(RIGHT(C80,2),1)="8","Bogor","")))))</f>
        <v>Bandung</v>
      </c>
      <c r="B80" s="94" t="s">
        <v>653</v>
      </c>
      <c r="C80" s="88" t="s">
        <v>654</v>
      </c>
      <c r="D80" s="88" t="s">
        <v>646</v>
      </c>
      <c r="E80" s="96"/>
      <c r="F80" s="101"/>
      <c r="G80" s="88" t="s">
        <v>647</v>
      </c>
      <c r="H80" s="88">
        <v>4371830329</v>
      </c>
      <c r="I80" s="88"/>
    </row>
    <row r="81" spans="1:9" x14ac:dyDescent="0.25">
      <c r="A81" s="94" t="str">
        <f t="shared" si="2"/>
        <v>Bandung</v>
      </c>
      <c r="B81" s="94" t="str">
        <f t="shared" si="3"/>
        <v>Pipa Pompa</v>
      </c>
      <c r="C81" s="95" t="s">
        <v>152</v>
      </c>
      <c r="D81" s="9" t="s">
        <v>589</v>
      </c>
      <c r="E81" s="96">
        <v>45334</v>
      </c>
      <c r="F81" s="96"/>
      <c r="G81" s="88" t="str">
        <f>VLOOKUP(Table79101112133[[#This Row],[Februari]],'Clean Data HR'!$G$2:$H$102,2,0)</f>
        <v>PMD2402001</v>
      </c>
      <c r="H81" s="88" t="s">
        <v>298</v>
      </c>
      <c r="I81" s="88"/>
    </row>
    <row r="82" spans="1:9" ht="15.75" x14ac:dyDescent="0.25">
      <c r="A82" s="94" t="str">
        <f t="shared" si="2"/>
        <v>Bandung</v>
      </c>
      <c r="B82" s="94" t="str">
        <f t="shared" si="3"/>
        <v>Pipa Pompa</v>
      </c>
      <c r="C82" s="100" t="s">
        <v>154</v>
      </c>
      <c r="D82" s="9" t="s">
        <v>155</v>
      </c>
      <c r="E82" s="96">
        <v>45978</v>
      </c>
      <c r="F82" s="96"/>
      <c r="G82" s="88" t="str">
        <f>VLOOKUP(Table79101112133[[#This Row],[Februari]],'Clean Data HR'!$G$2:$H$102,2,0)</f>
        <v>PMD2511002</v>
      </c>
      <c r="H82" s="88" t="s">
        <v>310</v>
      </c>
      <c r="I82" s="88"/>
    </row>
    <row r="83" spans="1:9" ht="15.75" x14ac:dyDescent="0.25">
      <c r="A83" s="94" t="str">
        <f t="shared" si="2"/>
        <v>Bandung</v>
      </c>
      <c r="B83" s="94" t="str">
        <f t="shared" si="3"/>
        <v>Pipa Pompa</v>
      </c>
      <c r="C83" s="100" t="s">
        <v>156</v>
      </c>
      <c r="D83" s="9" t="s">
        <v>576</v>
      </c>
      <c r="E83" s="96">
        <v>0</v>
      </c>
      <c r="F83" s="96"/>
      <c r="G83" s="88" t="e">
        <f>VLOOKUP(Table79101112133[[#This Row],[Februari]],'Clean Data HR'!$G$2:$H$102,2,0)</f>
        <v>#N/A</v>
      </c>
      <c r="H83" s="88">
        <v>0</v>
      </c>
      <c r="I83" s="88"/>
    </row>
    <row r="84" spans="1:9" ht="15.75" x14ac:dyDescent="0.25">
      <c r="A84" s="94" t="str">
        <f t="shared" si="2"/>
        <v>Bandung</v>
      </c>
      <c r="B84" s="94" t="str">
        <f t="shared" si="3"/>
        <v>Pipa Pompa</v>
      </c>
      <c r="C84" s="100" t="s">
        <v>157</v>
      </c>
      <c r="D84" s="9" t="s">
        <v>590</v>
      </c>
      <c r="E84" s="96">
        <v>45481</v>
      </c>
      <c r="F84" s="96"/>
      <c r="G84" s="88" t="str">
        <f>VLOOKUP(Table79101112133[[#This Row],[Februari]],'Clean Data HR'!$G$2:$H$102,2,0)</f>
        <v>PMD2407002</v>
      </c>
      <c r="H84" s="88" t="s">
        <v>301</v>
      </c>
      <c r="I84" s="88"/>
    </row>
    <row r="85" spans="1:9" ht="15.75" x14ac:dyDescent="0.25">
      <c r="A85" s="94" t="str">
        <f t="shared" si="2"/>
        <v>Bandung</v>
      </c>
      <c r="B85" s="94" t="str">
        <f t="shared" si="3"/>
        <v>Pipa Pompa</v>
      </c>
      <c r="C85" s="100" t="s">
        <v>159</v>
      </c>
      <c r="D85" s="106" t="s">
        <v>604</v>
      </c>
      <c r="E85" s="96">
        <v>45894</v>
      </c>
      <c r="F85" s="96"/>
      <c r="G85" s="88" t="str">
        <f>VLOOKUP(Table79101112133[[#This Row],[Februari]],'Clean Data HR'!$G$2:$H$102,2,0)</f>
        <v>PMD2107003</v>
      </c>
      <c r="H85" s="88">
        <v>2830811802</v>
      </c>
      <c r="I85" s="88"/>
    </row>
    <row r="86" spans="1:9" ht="15.75" x14ac:dyDescent="0.25">
      <c r="A86" s="94" t="str">
        <f t="shared" si="2"/>
        <v>Bandung</v>
      </c>
      <c r="B86" s="94" t="str">
        <f t="shared" si="3"/>
        <v>Pipa Pompa</v>
      </c>
      <c r="C86" s="100" t="s">
        <v>160</v>
      </c>
      <c r="D86" s="9" t="s">
        <v>591</v>
      </c>
      <c r="E86" s="96">
        <v>45713</v>
      </c>
      <c r="F86" s="96"/>
      <c r="G86" s="88" t="str">
        <f>VLOOKUP(Table79101112133[[#This Row],[Februari]],'Clean Data HR'!$G$2:$H$102,2,0)</f>
        <v>PMD2502005</v>
      </c>
      <c r="H86" s="88" t="s">
        <v>303</v>
      </c>
      <c r="I86" s="88"/>
    </row>
    <row r="87" spans="1:9" ht="15.75" x14ac:dyDescent="0.25">
      <c r="A87" s="94" t="str">
        <f t="shared" si="2"/>
        <v>Bandung</v>
      </c>
      <c r="B87" s="94" t="str">
        <f t="shared" si="3"/>
        <v>Pipa Pompa</v>
      </c>
      <c r="C87" s="100" t="s">
        <v>162</v>
      </c>
      <c r="D87" s="9" t="s">
        <v>163</v>
      </c>
      <c r="E87" s="96">
        <v>45979</v>
      </c>
      <c r="F87" s="96"/>
      <c r="G87" s="88" t="str">
        <f>VLOOKUP(Table79101112133[[#This Row],[Februari]],'Clean Data HR'!$G$2:$H$102,2,0)</f>
        <v>PMD2511004</v>
      </c>
      <c r="H87" s="88" t="s">
        <v>313</v>
      </c>
      <c r="I87" s="88"/>
    </row>
    <row r="88" spans="1:9" x14ac:dyDescent="0.25">
      <c r="A88" s="94" t="str">
        <f t="shared" si="2"/>
        <v>Bandung</v>
      </c>
      <c r="B88" s="94" t="str">
        <f t="shared" si="3"/>
        <v>Pipa Pompa</v>
      </c>
      <c r="C88" s="95" t="s">
        <v>164</v>
      </c>
      <c r="D88" s="95" t="s">
        <v>592</v>
      </c>
      <c r="E88" s="96">
        <v>45838</v>
      </c>
      <c r="F88" s="96"/>
      <c r="G88" s="88" t="str">
        <f>VLOOKUP(Table79101112133[[#This Row],[Februari]],'Clean Data HR'!$G$2:$H$102,2,0)</f>
        <v>PMD2506001</v>
      </c>
      <c r="H88" s="88">
        <v>8106058160</v>
      </c>
      <c r="I88" s="88"/>
    </row>
    <row r="89" spans="1:9" x14ac:dyDescent="0.25">
      <c r="A89" s="94" t="str">
        <f>IF(LEFT(RIGHT(C89,2),1)="0","Bandung",IF(LEFT(RIGHT(C89,2),1)="2","PCK",IF(LEFT(RIGHT(C89,2),1)="6","Cirebon",IF(LEFT(RIGHT(C89,2),1)="7","Tasik",IF(LEFT(RIGHT(C89,2),1)="8","Bogor","")))))</f>
        <v>Bandung</v>
      </c>
      <c r="B89" s="94" t="str">
        <f>IF(LEFT(C89,2)="EL","Elektrik",IF(LEFT(C89,2)="PP","Pipa Pompa",IF(LEFT(C89,2)="IC","ICI",IF(LEFT(C89,2)="PI","Pipamas",""))))</f>
        <v>Pipa Pompa</v>
      </c>
      <c r="C89" s="95" t="s">
        <v>166</v>
      </c>
      <c r="D89" s="9" t="s">
        <v>167</v>
      </c>
      <c r="E89" s="96">
        <v>44172</v>
      </c>
      <c r="F89" s="96"/>
      <c r="G89" s="88" t="str">
        <f>VLOOKUP(Table79101112133[[#This Row],[Februari]],'Clean Data HR'!$G$2:$H$102,2,0)</f>
        <v>PMD2012002</v>
      </c>
      <c r="H89" s="88" t="s">
        <v>293</v>
      </c>
      <c r="I89" s="88"/>
    </row>
    <row r="90" spans="1:9" ht="15.75" x14ac:dyDescent="0.25">
      <c r="A90" s="94" t="str">
        <f t="shared" si="2"/>
        <v>PCK</v>
      </c>
      <c r="B90" s="94" t="str">
        <f t="shared" si="3"/>
        <v>Pipa Pompa</v>
      </c>
      <c r="C90" s="100" t="s">
        <v>168</v>
      </c>
      <c r="D90" s="95" t="s">
        <v>593</v>
      </c>
      <c r="E90" s="96">
        <v>44538</v>
      </c>
      <c r="F90" s="96"/>
      <c r="G90" s="88" t="str">
        <f>VLOOKUP(Table79101112133[[#This Row],[Februari]],'Clean Data HR'!$G$2:$H$102,2,0)</f>
        <v>PMK2112008</v>
      </c>
      <c r="H90" s="88" t="s">
        <v>631</v>
      </c>
      <c r="I90" s="88"/>
    </row>
    <row r="91" spans="1:9" x14ac:dyDescent="0.25">
      <c r="A91" s="94" t="str">
        <f t="shared" si="2"/>
        <v>Cirebon</v>
      </c>
      <c r="B91" s="94" t="str">
        <f t="shared" si="3"/>
        <v>Pipa Pompa</v>
      </c>
      <c r="C91" s="95" t="s">
        <v>170</v>
      </c>
      <c r="D91" s="95" t="s">
        <v>172</v>
      </c>
      <c r="E91" s="96">
        <v>45509</v>
      </c>
      <c r="F91" s="96"/>
      <c r="G91" s="88" t="str">
        <f>VLOOKUP(Table79101112133[[#This Row],[Februari]],'Clean Data HR'!$G$2:$H$102,2,0)</f>
        <v>PMC2408001</v>
      </c>
      <c r="H91" s="88" t="s">
        <v>632</v>
      </c>
      <c r="I91" s="88"/>
    </row>
    <row r="92" spans="1:9" x14ac:dyDescent="0.25">
      <c r="A92" s="94" t="str">
        <f t="shared" si="2"/>
        <v>Cirebon</v>
      </c>
      <c r="B92" s="94" t="str">
        <f t="shared" si="3"/>
        <v>Pipa Pompa</v>
      </c>
      <c r="C92" s="95" t="s">
        <v>173</v>
      </c>
      <c r="D92" s="95" t="s">
        <v>175</v>
      </c>
      <c r="E92" s="96">
        <v>45079</v>
      </c>
      <c r="F92" s="96"/>
      <c r="G92" s="88" t="str">
        <f>VLOOKUP(Table79101112133[[#This Row],[Februari]],'Clean Data HR'!$G$2:$H$102,2,0)</f>
        <v>PMC2306001</v>
      </c>
      <c r="H92" s="88" t="s">
        <v>458</v>
      </c>
      <c r="I92" s="88"/>
    </row>
    <row r="93" spans="1:9" x14ac:dyDescent="0.25">
      <c r="A93" s="94" t="str">
        <f t="shared" si="2"/>
        <v>Cirebon</v>
      </c>
      <c r="B93" s="94" t="str">
        <f t="shared" si="3"/>
        <v>Pipa Pompa</v>
      </c>
      <c r="C93" s="95" t="s">
        <v>176</v>
      </c>
      <c r="D93" s="95" t="s">
        <v>178</v>
      </c>
      <c r="E93" s="96">
        <v>45502</v>
      </c>
      <c r="F93" s="96"/>
      <c r="G93" s="88" t="str">
        <f>VLOOKUP(Table79101112133[[#This Row],[Februari]],'Clean Data HR'!$G$2:$H$102,2,0)</f>
        <v>PMC2407003</v>
      </c>
      <c r="H93" s="88" t="s">
        <v>633</v>
      </c>
      <c r="I93" s="88"/>
    </row>
    <row r="94" spans="1:9" x14ac:dyDescent="0.25">
      <c r="A94" s="94" t="str">
        <f t="shared" si="2"/>
        <v>Cirebon</v>
      </c>
      <c r="B94" s="94" t="str">
        <f t="shared" si="3"/>
        <v>Pipa Pompa</v>
      </c>
      <c r="C94" s="95" t="s">
        <v>179</v>
      </c>
      <c r="D94" s="95" t="s">
        <v>181</v>
      </c>
      <c r="E94" s="96">
        <v>45419</v>
      </c>
      <c r="F94" s="96"/>
      <c r="G94" s="88" t="str">
        <f>VLOOKUP(Table79101112133[[#This Row],[Februari]],'Clean Data HR'!$G$2:$H$102,2,0)</f>
        <v>PMC2405002</v>
      </c>
      <c r="H94" s="88" t="s">
        <v>460</v>
      </c>
      <c r="I94" s="88"/>
    </row>
    <row r="95" spans="1:9" x14ac:dyDescent="0.25">
      <c r="A95" s="94" t="str">
        <f t="shared" si="2"/>
        <v>Cirebon</v>
      </c>
      <c r="B95" s="94" t="str">
        <f t="shared" si="3"/>
        <v>Pipa Pompa</v>
      </c>
      <c r="C95" s="95" t="s">
        <v>182</v>
      </c>
      <c r="D95" s="95" t="s">
        <v>184</v>
      </c>
      <c r="E95" s="96">
        <v>44655</v>
      </c>
      <c r="F95" s="96"/>
      <c r="G95" s="88" t="str">
        <f>VLOOKUP(Table79101112133[[#This Row],[Februari]],'Clean Data HR'!$G$2:$H$102,2,0)</f>
        <v>PMC2204004</v>
      </c>
      <c r="H95" s="88">
        <v>8180355414</v>
      </c>
      <c r="I95" s="88"/>
    </row>
    <row r="96" spans="1:9" x14ac:dyDescent="0.25">
      <c r="A96" s="94" t="str">
        <f t="shared" si="2"/>
        <v>Cirebon</v>
      </c>
      <c r="B96" s="94" t="str">
        <f t="shared" si="3"/>
        <v>Pipa Pompa</v>
      </c>
      <c r="C96" s="95" t="s">
        <v>185</v>
      </c>
      <c r="D96" s="95" t="s">
        <v>187</v>
      </c>
      <c r="E96" s="96">
        <v>45418</v>
      </c>
      <c r="F96" s="96"/>
      <c r="G96" s="88" t="str">
        <f>VLOOKUP(Table79101112133[[#This Row],[Februari]],'Clean Data HR'!$G$2:$H$102,2,0)</f>
        <v>PMC2405001</v>
      </c>
      <c r="H96" s="88" t="s">
        <v>453</v>
      </c>
      <c r="I96" s="88"/>
    </row>
    <row r="97" spans="1:9" x14ac:dyDescent="0.25">
      <c r="A97" s="94" t="str">
        <f t="shared" si="2"/>
        <v>Tasik</v>
      </c>
      <c r="B97" s="94" t="str">
        <f t="shared" si="3"/>
        <v>Pipa Pompa</v>
      </c>
      <c r="C97" s="99" t="s">
        <v>188</v>
      </c>
      <c r="D97" s="119" t="s">
        <v>615</v>
      </c>
      <c r="E97" s="40">
        <v>46015</v>
      </c>
      <c r="F97" s="96"/>
      <c r="G97" s="88" t="s">
        <v>200</v>
      </c>
      <c r="H97" s="87" t="s">
        <v>507</v>
      </c>
      <c r="I97" s="88"/>
    </row>
    <row r="98" spans="1:9" x14ac:dyDescent="0.25">
      <c r="A98" s="94" t="str">
        <f t="shared" si="2"/>
        <v>Tasik</v>
      </c>
      <c r="B98" s="94" t="str">
        <f t="shared" si="3"/>
        <v>Pipa Pompa</v>
      </c>
      <c r="C98" s="99" t="s">
        <v>189</v>
      </c>
      <c r="D98" s="88" t="s">
        <v>190</v>
      </c>
      <c r="E98" s="96">
        <v>44907</v>
      </c>
      <c r="F98" s="96"/>
      <c r="G98" s="88" t="str">
        <f>VLOOKUP(Table79101112133[[#This Row],[Februari]],'Clean Data HR'!$G$2:$H$102,2,0)</f>
        <v>PMT2212001</v>
      </c>
      <c r="H98" s="88" t="s">
        <v>501</v>
      </c>
      <c r="I98" s="88"/>
    </row>
    <row r="99" spans="1:9" x14ac:dyDescent="0.25">
      <c r="A99" s="94" t="str">
        <f t="shared" si="2"/>
        <v>Tasik</v>
      </c>
      <c r="B99" s="94" t="str">
        <f t="shared" si="3"/>
        <v>Pipa Pompa</v>
      </c>
      <c r="C99" s="99" t="s">
        <v>191</v>
      </c>
      <c r="D99" s="88" t="s">
        <v>192</v>
      </c>
      <c r="E99" s="96">
        <v>45936</v>
      </c>
      <c r="F99" s="96"/>
      <c r="G99" s="88" t="str">
        <f>VLOOKUP(Table79101112133[[#This Row],[Februari]],'Clean Data HR'!$G$2:$H$102,2,0)</f>
        <v>PMD2510001</v>
      </c>
      <c r="H99" s="88" t="s">
        <v>504</v>
      </c>
      <c r="I99" s="88"/>
    </row>
    <row r="100" spans="1:9" x14ac:dyDescent="0.25">
      <c r="A100" s="94" t="str">
        <f t="shared" si="2"/>
        <v>Tasik</v>
      </c>
      <c r="B100" s="94" t="str">
        <f t="shared" si="3"/>
        <v>Pipa Pompa</v>
      </c>
      <c r="C100" s="99" t="s">
        <v>193</v>
      </c>
      <c r="D100" s="95" t="s">
        <v>594</v>
      </c>
      <c r="E100" s="96">
        <v>45824</v>
      </c>
      <c r="F100" s="96"/>
      <c r="G100" s="88" t="str">
        <f>VLOOKUP(Table79101112133[[#This Row],[Februari]],'Clean Data HR'!$G$2:$H$102,2,0)</f>
        <v>PMT2506003</v>
      </c>
      <c r="H100" s="88" t="s">
        <v>498</v>
      </c>
      <c r="I100" s="88"/>
    </row>
    <row r="101" spans="1:9" x14ac:dyDescent="0.25">
      <c r="A101" s="94" t="str">
        <f t="shared" si="2"/>
        <v>Tasik</v>
      </c>
      <c r="B101" s="94" t="str">
        <f t="shared" si="3"/>
        <v>Pipa Pompa</v>
      </c>
      <c r="C101" s="99" t="s">
        <v>195</v>
      </c>
      <c r="D101" s="88" t="s">
        <v>196</v>
      </c>
      <c r="E101" s="96">
        <v>45996</v>
      </c>
      <c r="F101" s="96"/>
      <c r="G101" s="88" t="str">
        <f>VLOOKUP(Table79101112133[[#This Row],[Februari]],'Clean Data HR'!$G$2:$H$102,2,0)</f>
        <v>PMD2512002</v>
      </c>
      <c r="H101" s="88" t="s">
        <v>510</v>
      </c>
      <c r="I101" s="88"/>
    </row>
    <row r="102" spans="1:9" x14ac:dyDescent="0.25">
      <c r="A102" s="94" t="str">
        <f t="shared" si="2"/>
        <v>Bogor</v>
      </c>
      <c r="B102" s="94" t="str">
        <f t="shared" si="3"/>
        <v>Pipa Pompa</v>
      </c>
      <c r="C102" s="95" t="s">
        <v>197</v>
      </c>
      <c r="D102" s="95" t="s">
        <v>595</v>
      </c>
      <c r="E102" s="96">
        <v>45894</v>
      </c>
      <c r="F102" s="96"/>
      <c r="G102" s="88" t="str">
        <f>VLOOKUP(Table79101112133[[#This Row],[Februari]],'Clean Data HR'!$G$2:$H$102,2,0)</f>
        <v>PMD2508009</v>
      </c>
      <c r="H102" s="88" t="s">
        <v>381</v>
      </c>
      <c r="I102" s="88"/>
    </row>
    <row r="103" spans="1:9" x14ac:dyDescent="0.25">
      <c r="A103" s="94" t="str">
        <f t="shared" si="2"/>
        <v>Bogor</v>
      </c>
      <c r="B103" s="94" t="str">
        <f t="shared" si="3"/>
        <v>Pipa Pompa</v>
      </c>
      <c r="C103" s="95" t="s">
        <v>199</v>
      </c>
      <c r="D103" s="95" t="s">
        <v>596</v>
      </c>
      <c r="E103" s="96">
        <v>46065</v>
      </c>
      <c r="F103" s="96"/>
      <c r="G103" s="8" t="str">
        <f>VLOOKUP(Table79101112133[[#This Row],[Februari]],'Clean Data HR'!$G$2:$H$102,2,0)</f>
        <v>PMD2602007</v>
      </c>
      <c r="H103" s="87" t="s">
        <v>201</v>
      </c>
      <c r="I103" s="88" t="s">
        <v>655</v>
      </c>
    </row>
    <row r="104" spans="1:9" x14ac:dyDescent="0.25">
      <c r="A104" s="94" t="str">
        <f t="shared" si="2"/>
        <v>Bogor</v>
      </c>
      <c r="B104" s="94" t="str">
        <f t="shared" si="3"/>
        <v>Pipa Pompa</v>
      </c>
      <c r="C104" s="95" t="s">
        <v>202</v>
      </c>
      <c r="D104" s="88" t="s">
        <v>597</v>
      </c>
      <c r="E104" s="96">
        <v>44979</v>
      </c>
      <c r="F104" s="96"/>
      <c r="G104" s="88" t="str">
        <f>VLOOKUP(Table79101112133[[#This Row],[Februari]],'Clean Data HR'!$G$2:$H$102,2,0)</f>
        <v>PMB2302004</v>
      </c>
      <c r="H104" s="88" t="s">
        <v>375</v>
      </c>
      <c r="I104" s="88"/>
    </row>
    <row r="105" spans="1:9" x14ac:dyDescent="0.25">
      <c r="A105" s="94" t="str">
        <f t="shared" si="2"/>
        <v>Bogor</v>
      </c>
      <c r="B105" s="94" t="str">
        <f t="shared" si="3"/>
        <v>Pipa Pompa</v>
      </c>
      <c r="C105" s="95" t="s">
        <v>204</v>
      </c>
      <c r="D105" s="88" t="s">
        <v>598</v>
      </c>
      <c r="E105" s="96">
        <v>44739</v>
      </c>
      <c r="F105" s="96"/>
      <c r="G105" s="88" t="str">
        <f>VLOOKUP(Table79101112133[[#This Row],[Februari]],'Clean Data HR'!$G$2:$H$102,2,0)</f>
        <v>PMB2207003</v>
      </c>
      <c r="H105" s="88" t="s">
        <v>372</v>
      </c>
      <c r="I105" s="88"/>
    </row>
    <row r="106" spans="1:9" x14ac:dyDescent="0.25">
      <c r="A106" s="94" t="str">
        <f t="shared" si="2"/>
        <v>Bogor</v>
      </c>
      <c r="B106" s="94" t="str">
        <f t="shared" si="3"/>
        <v>Pipa Pompa</v>
      </c>
      <c r="C106" s="95" t="s">
        <v>206</v>
      </c>
      <c r="D106" s="88" t="s">
        <v>599</v>
      </c>
      <c r="E106" s="96">
        <v>44902</v>
      </c>
      <c r="F106" s="96"/>
      <c r="G106" s="88" t="str">
        <f>VLOOKUP(Table79101112133[[#This Row],[Februari]],'Clean Data HR'!$G$2:$H$102,2,0)</f>
        <v>PMB2212001</v>
      </c>
      <c r="H106" s="88" t="s">
        <v>379</v>
      </c>
      <c r="I106" s="88"/>
    </row>
    <row r="107" spans="1:9" x14ac:dyDescent="0.25">
      <c r="A107" s="102" t="s">
        <v>51</v>
      </c>
      <c r="B107" s="102" t="str">
        <f t="shared" si="3"/>
        <v>Pipa Pompa</v>
      </c>
      <c r="C107" s="95" t="s">
        <v>208</v>
      </c>
      <c r="D107" s="88" t="s">
        <v>600</v>
      </c>
      <c r="E107" s="96">
        <v>45124</v>
      </c>
      <c r="F107" s="101"/>
      <c r="G107" s="88" t="str">
        <f>VLOOKUP(Table79101112133[[#This Row],[Februari]],'Clean Data HR'!$G$2:$H$102,2,0)</f>
        <v>PMB2307003</v>
      </c>
      <c r="H107" s="87" t="s">
        <v>210</v>
      </c>
      <c r="I107" s="88"/>
    </row>
    <row r="108" spans="1:9" x14ac:dyDescent="0.25">
      <c r="A108" s="102" t="s">
        <v>51</v>
      </c>
      <c r="B108" s="102" t="str">
        <f t="shared" si="3"/>
        <v>Pipa Pompa</v>
      </c>
      <c r="C108" s="95" t="s">
        <v>211</v>
      </c>
      <c r="D108" s="88" t="s">
        <v>557</v>
      </c>
      <c r="E108" s="96">
        <v>45414</v>
      </c>
      <c r="F108" s="101"/>
      <c r="G108" s="8" t="str">
        <f>VLOOKUP(Table79101112133[[#This Row],[Februari]],'Clean Data HR'!$G$2:$H$102,2,0)</f>
        <v>PMB2405002</v>
      </c>
      <c r="H108" s="87" t="s">
        <v>57</v>
      </c>
      <c r="I108" s="88"/>
    </row>
    <row r="109" spans="1:9" x14ac:dyDescent="0.25">
      <c r="A109" s="102" t="str">
        <f>IF(LEFT(RIGHT(C109,2),1)="0","Bandung",IF(LEFT(RIGHT(C109,2),1)="2","PCK",IF(LEFT(RIGHT(C109,2),1)="6","Cirebon",IF(LEFT(RIGHT(C109,2),1)="7","Tasik",IF(LEFT(RIGHT(C109,2),1)="8","Bogor","")))))</f>
        <v>Bandung</v>
      </c>
      <c r="B109" s="102" t="str">
        <f>IF(LEFT(C109,2)="EL","Elektrik",IF(LEFT(C109,2)="PP","Pipa Pompa",IF(LEFT(C109,2)="IC","ICI",IF(LEFT(C109,2)="PI","Pipamas",""))))</f>
        <v/>
      </c>
      <c r="C109" s="95" t="s">
        <v>656</v>
      </c>
      <c r="D109" s="88" t="s">
        <v>414</v>
      </c>
      <c r="E109" s="96">
        <v>45414</v>
      </c>
      <c r="F109" s="101"/>
      <c r="G109" s="88" t="s">
        <v>413</v>
      </c>
      <c r="H109" s="120">
        <v>8180379941</v>
      </c>
      <c r="I109" s="88"/>
    </row>
  </sheetData>
  <conditionalFormatting sqref="C3 C81:C105 C25:C34 A3:B34 A35:C37 A38:B108">
    <cfRule type="containsText" dxfId="52" priority="36" operator="containsText" text="vacant">
      <formula>NOT(ISERROR(SEARCH("vacant",A3)))</formula>
    </cfRule>
  </conditionalFormatting>
  <conditionalFormatting sqref="C78:C79 C66:C71">
    <cfRule type="containsText" dxfId="51" priority="40" operator="containsText" text="vacant">
      <formula>NOT(ISERROR(SEARCH("vacant",C66)))</formula>
    </cfRule>
  </conditionalFormatting>
  <conditionalFormatting sqref="C4:C19">
    <cfRule type="containsText" dxfId="50" priority="39" operator="containsText" text="vacant">
      <formula>NOT(ISERROR(SEARCH("vacant",C4)))</formula>
    </cfRule>
  </conditionalFormatting>
  <conditionalFormatting sqref="C43:C51 C53:C56">
    <cfRule type="containsText" dxfId="49" priority="38" operator="containsText" text="vacant">
      <formula>NOT(ISERROR(SEARCH("vacant",C43)))</formula>
    </cfRule>
  </conditionalFormatting>
  <conditionalFormatting sqref="C57:C65">
    <cfRule type="containsText" dxfId="48" priority="37" operator="containsText" text="vacant">
      <formula>NOT(ISERROR(SEARCH("vacant",C57)))</formula>
    </cfRule>
  </conditionalFormatting>
  <conditionalFormatting sqref="D88">
    <cfRule type="containsText" dxfId="47" priority="35" operator="containsText" text="vac">
      <formula>NOT(ISERROR(SEARCH("vac",D88)))</formula>
    </cfRule>
  </conditionalFormatting>
  <conditionalFormatting sqref="D100">
    <cfRule type="containsText" dxfId="46" priority="34" operator="containsText" text="vacant">
      <formula>NOT(ISERROR(SEARCH("vacant",D100)))</formula>
    </cfRule>
  </conditionalFormatting>
  <conditionalFormatting sqref="D100">
    <cfRule type="containsText" dxfId="45" priority="33" operator="containsText" text="vac">
      <formula>NOT(ISERROR(SEARCH("vac",D100)))</formula>
    </cfRule>
  </conditionalFormatting>
  <conditionalFormatting sqref="D71">
    <cfRule type="containsText" dxfId="44" priority="32" operator="containsText" text="vacant">
      <formula>NOT(ISERROR(SEARCH("vacant",D71)))</formula>
    </cfRule>
  </conditionalFormatting>
  <conditionalFormatting sqref="D71">
    <cfRule type="containsText" dxfId="43" priority="31" operator="containsText" text="vac">
      <formula>NOT(ISERROR(SEARCH("vac",D71)))</formula>
    </cfRule>
  </conditionalFormatting>
  <conditionalFormatting sqref="D72">
    <cfRule type="containsText" dxfId="42" priority="30" operator="containsText" text="vacant">
      <formula>NOT(ISERROR(SEARCH("vacant",D72)))</formula>
    </cfRule>
  </conditionalFormatting>
  <conditionalFormatting sqref="D72">
    <cfRule type="containsText" dxfId="41" priority="29" operator="containsText" text="vac">
      <formula>NOT(ISERROR(SEARCH("vac",D72)))</formula>
    </cfRule>
  </conditionalFormatting>
  <conditionalFormatting sqref="D73">
    <cfRule type="containsText" dxfId="40" priority="28" operator="containsText" text="vacant">
      <formula>NOT(ISERROR(SEARCH("vacant",D73)))</formula>
    </cfRule>
  </conditionalFormatting>
  <conditionalFormatting sqref="D73">
    <cfRule type="containsText" dxfId="39" priority="27" operator="containsText" text="vac">
      <formula>NOT(ISERROR(SEARCH("vac",D73)))</formula>
    </cfRule>
  </conditionalFormatting>
  <conditionalFormatting sqref="D64:D65">
    <cfRule type="containsText" dxfId="38" priority="26" operator="containsText" text="vac">
      <formula>NOT(ISERROR(SEARCH("vac",D64)))</formula>
    </cfRule>
  </conditionalFormatting>
  <conditionalFormatting sqref="D63">
    <cfRule type="containsText" dxfId="37" priority="25" operator="containsText" text="vacant">
      <formula>NOT(ISERROR(SEARCH("vacant",D63)))</formula>
    </cfRule>
  </conditionalFormatting>
  <conditionalFormatting sqref="D63">
    <cfRule type="containsText" dxfId="36" priority="24" operator="containsText" text="vac">
      <formula>NOT(ISERROR(SEARCH("vac",D63)))</formula>
    </cfRule>
  </conditionalFormatting>
  <conditionalFormatting sqref="D76">
    <cfRule type="containsText" dxfId="35" priority="23" operator="containsText" text="vacant">
      <formula>NOT(ISERROR(SEARCH("vacant",D76)))</formula>
    </cfRule>
  </conditionalFormatting>
  <conditionalFormatting sqref="D76">
    <cfRule type="containsText" dxfId="34" priority="22" operator="containsText" text="vac">
      <formula>NOT(ISERROR(SEARCH("vac",D76)))</formula>
    </cfRule>
  </conditionalFormatting>
  <conditionalFormatting sqref="H56">
    <cfRule type="containsText" dxfId="33" priority="20" operator="containsText" text="FALSE">
      <formula>NOT(ISERROR(SEARCH("FALSE",H56)))</formula>
    </cfRule>
    <cfRule type="containsText" dxfId="32" priority="21" operator="containsText" text="TRUE">
      <formula>NOT(ISERROR(SEARCH("TRUE",H56)))</formula>
    </cfRule>
  </conditionalFormatting>
  <conditionalFormatting sqref="I103">
    <cfRule type="containsText" dxfId="31" priority="18" operator="containsText" text="FALSE">
      <formula>NOT(ISERROR(SEARCH("FALSE",I103)))</formula>
    </cfRule>
    <cfRule type="containsText" dxfId="30" priority="19" operator="containsText" text="TRUE">
      <formula>NOT(ISERROR(SEARCH("TRUE",I103)))</formula>
    </cfRule>
  </conditionalFormatting>
  <conditionalFormatting sqref="I71">
    <cfRule type="containsText" dxfId="29" priority="14" operator="containsText" text="FALSE">
      <formula>NOT(ISERROR(SEARCH("FALSE",I71)))</formula>
    </cfRule>
    <cfRule type="containsText" dxfId="28" priority="15" operator="containsText" text="TRUE">
      <formula>NOT(ISERROR(SEARCH("TRUE",I71)))</formula>
    </cfRule>
  </conditionalFormatting>
  <conditionalFormatting sqref="I71">
    <cfRule type="containsText" dxfId="27" priority="16" operator="containsText" text="vac">
      <formula>NOT(ISERROR(SEARCH("vac",I71)))</formula>
    </cfRule>
    <cfRule type="containsText" dxfId="26" priority="17" operator="containsText" text="vacant">
      <formula>NOT(ISERROR(SEARCH("vacant",I71)))</formula>
    </cfRule>
  </conditionalFormatting>
  <conditionalFormatting sqref="D3:D51 D81:D108 D53:D79">
    <cfRule type="containsText" dxfId="25" priority="13" operator="containsText" text="vacan">
      <formula>NOT(ISERROR(SEARCH("vacan",D3)))</formula>
    </cfRule>
  </conditionalFormatting>
  <conditionalFormatting sqref="C80">
    <cfRule type="containsText" dxfId="24" priority="11" operator="containsText" text="FALSE">
      <formula>NOT(ISERROR(SEARCH("FALSE",C80)))</formula>
    </cfRule>
    <cfRule type="containsText" dxfId="23" priority="12" operator="containsText" text="TRUE">
      <formula>NOT(ISERROR(SEARCH("TRUE",C80)))</formula>
    </cfRule>
  </conditionalFormatting>
  <conditionalFormatting sqref="D80">
    <cfRule type="containsText" dxfId="22" priority="9" operator="containsText" text="FALSE">
      <formula>NOT(ISERROR(SEARCH("FALSE",D80)))</formula>
    </cfRule>
    <cfRule type="containsText" dxfId="21" priority="10" operator="containsText" text="TRUE">
      <formula>NOT(ISERROR(SEARCH("TRUE",D80)))</formula>
    </cfRule>
  </conditionalFormatting>
  <conditionalFormatting sqref="D2">
    <cfRule type="containsText" dxfId="20" priority="7" operator="containsText" text="FALSE">
      <formula>NOT(ISERROR(SEARCH("FALSE",D2)))</formula>
    </cfRule>
    <cfRule type="containsText" dxfId="19" priority="8" operator="containsText" text="TRUE">
      <formula>NOT(ISERROR(SEARCH("TRUE",D2)))</formula>
    </cfRule>
  </conditionalFormatting>
  <conditionalFormatting sqref="E109">
    <cfRule type="containsText" dxfId="18" priority="5" operator="containsText" text="FALSE">
      <formula>NOT(ISERROR(SEARCH("FALSE",E109)))</formula>
    </cfRule>
    <cfRule type="containsText" dxfId="17" priority="6" operator="containsText" text="TRUE">
      <formula>NOT(ISERROR(SEARCH("TRUE",E109)))</formula>
    </cfRule>
  </conditionalFormatting>
  <conditionalFormatting sqref="C52">
    <cfRule type="containsText" dxfId="16" priority="3" operator="containsText" text="FALSE">
      <formula>NOT(ISERROR(SEARCH("FALSE",C52)))</formula>
    </cfRule>
    <cfRule type="containsText" dxfId="15" priority="4" operator="containsText" text="TRUE">
      <formula>NOT(ISERROR(SEARCH("TRUE",C52)))</formula>
    </cfRule>
  </conditionalFormatting>
  <conditionalFormatting sqref="D52">
    <cfRule type="containsText" dxfId="14" priority="1" operator="containsText" text="FALSE">
      <formula>NOT(ISERROR(SEARCH("FALSE",D52)))</formula>
    </cfRule>
    <cfRule type="containsText" dxfId="13" priority="2" operator="containsText" text="TRUE">
      <formula>NOT(ISERROR(SEARCH("TRUE",D52)))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3007-0EE8-469F-B074-AFE0A653363C}">
  <dimension ref="A1:Q103"/>
  <sheetViews>
    <sheetView zoomScaleNormal="100" zoomScaleSheetLayoutView="100" workbookViewId="0">
      <pane ySplit="1" topLeftCell="A2" activePane="bottomLeft" state="frozen"/>
      <selection pane="bottomLeft" activeCell="I11" sqref="I11"/>
    </sheetView>
  </sheetViews>
  <sheetFormatPr defaultRowHeight="15" x14ac:dyDescent="0.25"/>
  <cols>
    <col min="1" max="1" width="2.7109375" bestFit="1" customWidth="1"/>
    <col min="2" max="2" width="3.42578125" bestFit="1" customWidth="1"/>
    <col min="3" max="3" width="3" bestFit="1" customWidth="1"/>
    <col min="4" max="4" width="13.5703125" bestFit="1" customWidth="1"/>
    <col min="5" max="6" width="11.5703125" customWidth="1"/>
    <col min="7" max="7" width="28.7109375" bestFit="1" customWidth="1"/>
    <col min="8" max="8" width="11.7109375" style="10" bestFit="1" customWidth="1"/>
    <col min="9" max="9" width="55.140625" bestFit="1" customWidth="1"/>
    <col min="10" max="10" width="11" customWidth="1"/>
    <col min="11" max="11" width="9" customWidth="1"/>
    <col min="12" max="12" width="10.7109375" bestFit="1" customWidth="1"/>
    <col min="13" max="13" width="12" style="55" customWidth="1"/>
    <col min="14" max="14" width="9.140625" hidden="1" customWidth="1"/>
    <col min="15" max="15" width="4.28515625" hidden="1" customWidth="1"/>
    <col min="16" max="16" width="9.140625" style="2"/>
  </cols>
  <sheetData>
    <row r="1" spans="1:17" ht="16.5" customHeight="1" x14ac:dyDescent="0.25">
      <c r="A1" s="19" t="s">
        <v>216</v>
      </c>
      <c r="B1" s="20" t="s">
        <v>217</v>
      </c>
      <c r="C1" s="20" t="s">
        <v>218</v>
      </c>
      <c r="D1" s="20" t="s">
        <v>6</v>
      </c>
      <c r="E1" s="20" t="s">
        <v>220</v>
      </c>
      <c r="F1" s="20" t="s">
        <v>221</v>
      </c>
      <c r="G1" s="20" t="s">
        <v>222</v>
      </c>
      <c r="H1" s="20" t="s">
        <v>6</v>
      </c>
      <c r="I1" s="25" t="s">
        <v>223</v>
      </c>
      <c r="J1" s="20" t="s">
        <v>224</v>
      </c>
      <c r="K1" s="26" t="s">
        <v>225</v>
      </c>
      <c r="L1" s="27" t="s">
        <v>226</v>
      </c>
      <c r="M1" s="28" t="s">
        <v>227</v>
      </c>
      <c r="N1" s="27" t="s">
        <v>228</v>
      </c>
      <c r="O1" s="18"/>
      <c r="P1"/>
      <c r="Q1" s="2"/>
    </row>
    <row r="2" spans="1:17" x14ac:dyDescent="0.25">
      <c r="A2" s="7" t="s">
        <v>231</v>
      </c>
      <c r="B2" s="7" t="s">
        <v>232</v>
      </c>
      <c r="C2" s="7">
        <v>1</v>
      </c>
      <c r="D2" s="7" t="s">
        <v>246</v>
      </c>
      <c r="E2" s="38">
        <f ca="1">((YEAR(TODAY())-YEAR(K2))*12+MONTH(TODAY())-MONTH(K2))/12</f>
        <v>2.8333333333333335</v>
      </c>
      <c r="F2" s="39" t="s">
        <v>117</v>
      </c>
      <c r="G2" s="7" t="s">
        <v>116</v>
      </c>
      <c r="H2" s="7" t="s">
        <v>246</v>
      </c>
      <c r="I2" s="40"/>
      <c r="J2" s="7" t="s">
        <v>248</v>
      </c>
      <c r="K2" s="41">
        <v>45169</v>
      </c>
      <c r="L2" s="7" t="s">
        <v>236</v>
      </c>
      <c r="M2" s="41">
        <v>32129</v>
      </c>
      <c r="N2" s="83"/>
      <c r="P2" t="str">
        <f>VLOOKUP(D2,'[1]0524'!$B$3:$B$125,1,0)</f>
        <v>PMD2207003</v>
      </c>
      <c r="Q2" s="2"/>
    </row>
    <row r="3" spans="1:17" x14ac:dyDescent="0.25">
      <c r="A3" s="7" t="s">
        <v>231</v>
      </c>
      <c r="B3" s="7" t="s">
        <v>232</v>
      </c>
      <c r="C3" s="7">
        <v>2</v>
      </c>
      <c r="D3" s="7" t="s">
        <v>249</v>
      </c>
      <c r="E3" s="38">
        <f ca="1">((YEAR(TODAY())-YEAR(K3))*12+MONTH(TODAY())-MONTH(K3))/12</f>
        <v>4.75</v>
      </c>
      <c r="F3" s="39">
        <v>2831290783</v>
      </c>
      <c r="G3" s="7" t="s">
        <v>580</v>
      </c>
      <c r="H3" s="7" t="s">
        <v>249</v>
      </c>
      <c r="I3" s="40"/>
      <c r="J3" s="7" t="s">
        <v>250</v>
      </c>
      <c r="K3" s="41">
        <v>44460</v>
      </c>
      <c r="L3" s="7" t="s">
        <v>236</v>
      </c>
      <c r="M3" s="41">
        <v>34894</v>
      </c>
      <c r="N3" s="83"/>
      <c r="P3" t="str">
        <f>VLOOKUP(D3,'[1]0524'!$B$3:$B$125,1,0)</f>
        <v>PMD2109007</v>
      </c>
    </row>
    <row r="4" spans="1:17" x14ac:dyDescent="0.25">
      <c r="A4" s="7" t="s">
        <v>231</v>
      </c>
      <c r="B4" s="7" t="s">
        <v>232</v>
      </c>
      <c r="C4" s="7">
        <v>3</v>
      </c>
      <c r="D4" s="7" t="s">
        <v>251</v>
      </c>
      <c r="E4" s="38">
        <f t="shared" ref="E4:E12" ca="1" si="0">((YEAR(TODAY())-YEAR(K4))*12+MONTH(TODAY())-MONTH(K4))/12</f>
        <v>3.6666666666666665</v>
      </c>
      <c r="F4" s="52" t="s">
        <v>252</v>
      </c>
      <c r="G4" s="7" t="s">
        <v>579</v>
      </c>
      <c r="H4" s="7" t="s">
        <v>251</v>
      </c>
      <c r="I4" s="40"/>
      <c r="J4" s="7" t="s">
        <v>250</v>
      </c>
      <c r="K4" s="41">
        <v>44858</v>
      </c>
      <c r="L4" s="7" t="s">
        <v>236</v>
      </c>
      <c r="M4" s="41">
        <v>34577</v>
      </c>
      <c r="N4" s="83"/>
      <c r="P4" t="str">
        <f>VLOOKUP(D4,'[1]0524'!$B$3:$B$125,1,0)</f>
        <v>PMD2210008</v>
      </c>
    </row>
    <row r="5" spans="1:17" x14ac:dyDescent="0.25">
      <c r="A5" s="7" t="s">
        <v>231</v>
      </c>
      <c r="B5" s="7" t="s">
        <v>232</v>
      </c>
      <c r="C5" s="7">
        <v>4</v>
      </c>
      <c r="D5" s="7" t="s">
        <v>253</v>
      </c>
      <c r="E5" s="38">
        <f t="shared" ca="1" si="0"/>
        <v>1.25</v>
      </c>
      <c r="F5" s="52" t="s">
        <v>254</v>
      </c>
      <c r="G5" s="7" t="s">
        <v>601</v>
      </c>
      <c r="H5" s="7" t="s">
        <v>253</v>
      </c>
      <c r="I5" s="40"/>
      <c r="J5" s="7" t="s">
        <v>250</v>
      </c>
      <c r="K5" s="53">
        <v>45727</v>
      </c>
      <c r="L5" s="7" t="s">
        <v>236</v>
      </c>
      <c r="M5" s="41">
        <v>34391</v>
      </c>
      <c r="N5" s="83"/>
      <c r="P5"/>
    </row>
    <row r="6" spans="1:17" x14ac:dyDescent="0.25">
      <c r="A6" s="7" t="s">
        <v>231</v>
      </c>
      <c r="B6" s="7" t="s">
        <v>232</v>
      </c>
      <c r="C6" s="7">
        <v>5</v>
      </c>
      <c r="D6" s="7" t="s">
        <v>256</v>
      </c>
      <c r="E6" s="38">
        <f t="shared" ca="1" si="0"/>
        <v>1.25</v>
      </c>
      <c r="F6" s="52" t="s">
        <v>257</v>
      </c>
      <c r="G6" s="7" t="s">
        <v>578</v>
      </c>
      <c r="H6" s="7" t="s">
        <v>256</v>
      </c>
      <c r="I6" s="40"/>
      <c r="J6" s="7" t="s">
        <v>250</v>
      </c>
      <c r="K6" s="53">
        <v>45727</v>
      </c>
      <c r="L6" s="7" t="s">
        <v>236</v>
      </c>
      <c r="M6" s="41">
        <v>35744</v>
      </c>
      <c r="N6" s="83"/>
      <c r="P6"/>
    </row>
    <row r="7" spans="1:17" x14ac:dyDescent="0.25">
      <c r="A7" s="7" t="s">
        <v>231</v>
      </c>
      <c r="B7" s="7" t="s">
        <v>232</v>
      </c>
      <c r="C7" s="7">
        <v>6</v>
      </c>
      <c r="D7" s="7" t="s">
        <v>259</v>
      </c>
      <c r="E7" s="38">
        <f t="shared" ca="1" si="0"/>
        <v>1.0833333333333333</v>
      </c>
      <c r="F7" s="52" t="s">
        <v>260</v>
      </c>
      <c r="G7" s="7" t="s">
        <v>602</v>
      </c>
      <c r="H7" s="7" t="s">
        <v>259</v>
      </c>
      <c r="I7" s="40">
        <v>46091</v>
      </c>
      <c r="J7" s="7" t="s">
        <v>250</v>
      </c>
      <c r="K7" s="53">
        <v>45792</v>
      </c>
      <c r="L7" s="7" t="s">
        <v>236</v>
      </c>
      <c r="M7" s="41">
        <v>32585</v>
      </c>
      <c r="N7" s="84"/>
      <c r="P7"/>
    </row>
    <row r="8" spans="1:17" x14ac:dyDescent="0.25">
      <c r="A8" s="7" t="s">
        <v>231</v>
      </c>
      <c r="B8" s="7" t="s">
        <v>232</v>
      </c>
      <c r="C8" s="7">
        <v>7</v>
      </c>
      <c r="D8" s="7" t="s">
        <v>262</v>
      </c>
      <c r="E8" s="38">
        <f ca="1">((YEAR(TODAY())-YEAR(K8))*12+MONTH(TODAY())-MONTH(K8))/12</f>
        <v>0.83333333333333337</v>
      </c>
      <c r="F8" s="43" t="s">
        <v>263</v>
      </c>
      <c r="G8" s="7" t="s">
        <v>108</v>
      </c>
      <c r="H8" s="7" t="s">
        <v>262</v>
      </c>
      <c r="I8" s="40"/>
      <c r="J8" s="7" t="s">
        <v>250</v>
      </c>
      <c r="K8" s="41">
        <v>45887</v>
      </c>
      <c r="L8" s="7" t="s">
        <v>236</v>
      </c>
      <c r="M8" s="44">
        <v>34699</v>
      </c>
      <c r="N8" s="85"/>
      <c r="P8"/>
    </row>
    <row r="9" spans="1:17" x14ac:dyDescent="0.25">
      <c r="A9" s="7" t="s">
        <v>231</v>
      </c>
      <c r="B9" s="7" t="s">
        <v>232</v>
      </c>
      <c r="C9" s="7">
        <v>8</v>
      </c>
      <c r="D9" s="4" t="s">
        <v>265</v>
      </c>
      <c r="E9" s="38">
        <f ca="1">((YEAR(TODAY())-YEAR(K9))*12+MONTH(TODAY())-MONTH(K9))/12</f>
        <v>0.83333333333333337</v>
      </c>
      <c r="F9" s="5" t="s">
        <v>266</v>
      </c>
      <c r="G9" s="7" t="s">
        <v>96</v>
      </c>
      <c r="H9" s="4" t="s">
        <v>265</v>
      </c>
      <c r="I9" s="40"/>
      <c r="J9" s="7" t="s">
        <v>250</v>
      </c>
      <c r="K9" s="44">
        <v>45896</v>
      </c>
      <c r="L9" s="7" t="s">
        <v>236</v>
      </c>
      <c r="M9" s="44">
        <v>30738</v>
      </c>
      <c r="N9" s="83"/>
      <c r="P9"/>
    </row>
    <row r="10" spans="1:17" x14ac:dyDescent="0.25">
      <c r="A10" s="7" t="s">
        <v>231</v>
      </c>
      <c r="B10" s="7" t="s">
        <v>232</v>
      </c>
      <c r="C10" s="7">
        <v>9</v>
      </c>
      <c r="D10" s="7" t="s">
        <v>268</v>
      </c>
      <c r="E10" s="38">
        <f t="shared" ca="1" si="0"/>
        <v>0.75</v>
      </c>
      <c r="F10" s="52" t="s">
        <v>269</v>
      </c>
      <c r="G10" s="7" t="s">
        <v>577</v>
      </c>
      <c r="H10" s="7" t="s">
        <v>268</v>
      </c>
      <c r="I10" s="52"/>
      <c r="J10" s="7" t="s">
        <v>250</v>
      </c>
      <c r="K10" s="57">
        <v>45904</v>
      </c>
      <c r="L10" s="7" t="s">
        <v>236</v>
      </c>
      <c r="M10" s="57">
        <v>29291</v>
      </c>
      <c r="N10" s="83"/>
      <c r="P10"/>
      <c r="Q10" s="58"/>
    </row>
    <row r="11" spans="1:17" x14ac:dyDescent="0.25">
      <c r="A11" s="7" t="s">
        <v>231</v>
      </c>
      <c r="B11" s="7" t="s">
        <v>232</v>
      </c>
      <c r="C11" s="7">
        <v>10</v>
      </c>
      <c r="D11" s="7" t="s">
        <v>270</v>
      </c>
      <c r="E11" s="38">
        <f t="shared" ca="1" si="0"/>
        <v>0.5</v>
      </c>
      <c r="F11" s="7">
        <v>8090609018</v>
      </c>
      <c r="G11" s="7" t="s">
        <v>119</v>
      </c>
      <c r="H11" s="7" t="s">
        <v>270</v>
      </c>
      <c r="I11" s="52"/>
      <c r="J11" s="7" t="s">
        <v>248</v>
      </c>
      <c r="K11" s="57">
        <v>46000</v>
      </c>
      <c r="L11" s="7" t="s">
        <v>236</v>
      </c>
      <c r="M11" s="57">
        <v>33910</v>
      </c>
      <c r="N11" s="85"/>
      <c r="P11"/>
      <c r="Q11" s="2"/>
    </row>
    <row r="12" spans="1:17" x14ac:dyDescent="0.25">
      <c r="A12" s="7" t="s">
        <v>231</v>
      </c>
      <c r="B12" s="7" t="s">
        <v>232</v>
      </c>
      <c r="C12" s="7">
        <v>11</v>
      </c>
      <c r="D12" s="7" t="s">
        <v>113</v>
      </c>
      <c r="E12" s="38">
        <f t="shared" ca="1" si="0"/>
        <v>0.5</v>
      </c>
      <c r="F12" s="7" t="s">
        <v>114</v>
      </c>
      <c r="G12" s="7" t="s">
        <v>581</v>
      </c>
      <c r="H12" s="7" t="s">
        <v>113</v>
      </c>
      <c r="I12" s="52"/>
      <c r="J12" s="7" t="s">
        <v>250</v>
      </c>
      <c r="K12" s="57">
        <v>45996</v>
      </c>
      <c r="L12" s="7" t="s">
        <v>236</v>
      </c>
      <c r="M12" s="57">
        <v>33210</v>
      </c>
      <c r="N12" s="85"/>
      <c r="P12"/>
      <c r="Q12" s="2"/>
    </row>
    <row r="13" spans="1:17" x14ac:dyDescent="0.25">
      <c r="A13" s="7" t="s">
        <v>231</v>
      </c>
      <c r="B13" s="7" t="s">
        <v>232</v>
      </c>
      <c r="C13" s="7">
        <v>1</v>
      </c>
      <c r="D13" s="7" t="s">
        <v>274</v>
      </c>
      <c r="E13" s="38">
        <f t="shared" ref="E13:E18" ca="1" si="1">((YEAR(TODAY())-YEAR(K13))*12+MONTH(TODAY())-MONTH(K13))/12</f>
        <v>4.416666666666667</v>
      </c>
      <c r="F13" s="39">
        <v>4371314568</v>
      </c>
      <c r="G13" s="7" t="s">
        <v>538</v>
      </c>
      <c r="H13" s="7" t="s">
        <v>274</v>
      </c>
      <c r="I13" s="40"/>
      <c r="J13" s="7" t="s">
        <v>276</v>
      </c>
      <c r="K13" s="41">
        <v>44588</v>
      </c>
      <c r="L13" s="7" t="s">
        <v>236</v>
      </c>
      <c r="M13" s="41">
        <v>34627</v>
      </c>
      <c r="N13" s="83"/>
      <c r="P13" t="str">
        <f>VLOOKUP(D31,'[1]0524'!$B$3:$B$125,1,0)</f>
        <v>PMD2308002</v>
      </c>
    </row>
    <row r="14" spans="1:17" x14ac:dyDescent="0.25">
      <c r="A14" s="7" t="s">
        <v>231</v>
      </c>
      <c r="B14" s="7" t="s">
        <v>232</v>
      </c>
      <c r="C14" s="7">
        <v>2</v>
      </c>
      <c r="D14" s="7" t="s">
        <v>277</v>
      </c>
      <c r="E14" s="38">
        <f t="shared" ca="1" si="1"/>
        <v>4.083333333333333</v>
      </c>
      <c r="F14" s="39">
        <v>2810384045</v>
      </c>
      <c r="G14" s="7" t="s">
        <v>543</v>
      </c>
      <c r="H14" s="7" t="s">
        <v>277</v>
      </c>
      <c r="I14" s="40"/>
      <c r="J14" s="9" t="s">
        <v>276</v>
      </c>
      <c r="K14" s="41">
        <v>44704</v>
      </c>
      <c r="L14" s="7" t="s">
        <v>236</v>
      </c>
      <c r="M14" s="41">
        <v>31148</v>
      </c>
      <c r="N14" s="83"/>
      <c r="P14" t="e">
        <f>VLOOKUP(#REF!,'[1]0524'!$B$3:$B$125,1,0)</f>
        <v>#REF!</v>
      </c>
    </row>
    <row r="15" spans="1:17" x14ac:dyDescent="0.25">
      <c r="A15" s="7" t="s">
        <v>231</v>
      </c>
      <c r="B15" s="7" t="s">
        <v>232</v>
      </c>
      <c r="C15" s="7">
        <v>3</v>
      </c>
      <c r="D15" s="59" t="s">
        <v>279</v>
      </c>
      <c r="E15" s="38">
        <f t="shared" ca="1" si="1"/>
        <v>1.8333333333333333</v>
      </c>
      <c r="F15" s="43">
        <v>7940315390</v>
      </c>
      <c r="G15" s="6" t="s">
        <v>541</v>
      </c>
      <c r="H15" s="59" t="s">
        <v>279</v>
      </c>
      <c r="I15" s="40"/>
      <c r="J15" s="9" t="s">
        <v>276</v>
      </c>
      <c r="K15" s="44">
        <v>45533</v>
      </c>
      <c r="L15" s="7" t="s">
        <v>236</v>
      </c>
      <c r="M15" s="44">
        <v>36568</v>
      </c>
      <c r="N15" s="83"/>
      <c r="P15"/>
    </row>
    <row r="16" spans="1:17" x14ac:dyDescent="0.25">
      <c r="A16" s="7" t="s">
        <v>231</v>
      </c>
      <c r="B16" s="7" t="s">
        <v>232</v>
      </c>
      <c r="C16" s="7">
        <v>4</v>
      </c>
      <c r="D16" s="59" t="s">
        <v>281</v>
      </c>
      <c r="E16" s="38">
        <f t="shared" ca="1" si="1"/>
        <v>1.5</v>
      </c>
      <c r="F16" s="43" t="s">
        <v>282</v>
      </c>
      <c r="G16" s="6" t="s">
        <v>542</v>
      </c>
      <c r="H16" s="59" t="s">
        <v>281</v>
      </c>
      <c r="I16" s="40"/>
      <c r="J16" s="9" t="s">
        <v>276</v>
      </c>
      <c r="K16" s="44">
        <v>45628</v>
      </c>
      <c r="L16" s="7" t="s">
        <v>236</v>
      </c>
      <c r="M16" s="44">
        <v>33840</v>
      </c>
      <c r="N16" s="83"/>
      <c r="P16"/>
    </row>
    <row r="17" spans="1:17" x14ac:dyDescent="0.25">
      <c r="A17" s="7" t="s">
        <v>231</v>
      </c>
      <c r="B17" s="7" t="s">
        <v>232</v>
      </c>
      <c r="C17" s="7">
        <v>5</v>
      </c>
      <c r="D17" s="7" t="s">
        <v>284</v>
      </c>
      <c r="E17" s="38">
        <f t="shared" ca="1" si="1"/>
        <v>0.5</v>
      </c>
      <c r="F17" s="52" t="s">
        <v>285</v>
      </c>
      <c r="G17" s="7" t="s">
        <v>603</v>
      </c>
      <c r="H17" s="7" t="s">
        <v>284</v>
      </c>
      <c r="I17" s="40"/>
      <c r="J17" s="9" t="s">
        <v>276</v>
      </c>
      <c r="K17" s="57">
        <v>46000</v>
      </c>
      <c r="L17" s="7" t="s">
        <v>236</v>
      </c>
      <c r="M17" s="57">
        <v>34636</v>
      </c>
      <c r="N17" s="83"/>
      <c r="P17"/>
      <c r="Q17" s="58"/>
    </row>
    <row r="18" spans="1:17" x14ac:dyDescent="0.25">
      <c r="A18" s="7" t="s">
        <v>231</v>
      </c>
      <c r="B18" s="7" t="s">
        <v>232</v>
      </c>
      <c r="C18" s="7">
        <v>6</v>
      </c>
      <c r="D18" s="7" t="s">
        <v>287</v>
      </c>
      <c r="E18" s="38">
        <f t="shared" ca="1" si="1"/>
        <v>0.5</v>
      </c>
      <c r="F18" s="52" t="s">
        <v>288</v>
      </c>
      <c r="G18" s="7" t="s">
        <v>540</v>
      </c>
      <c r="H18" s="7" t="s">
        <v>287</v>
      </c>
      <c r="I18" s="40"/>
      <c r="J18" s="9" t="s">
        <v>276</v>
      </c>
      <c r="K18" s="57">
        <v>46006</v>
      </c>
      <c r="L18" s="7" t="s">
        <v>236</v>
      </c>
      <c r="M18" s="57">
        <v>36032</v>
      </c>
      <c r="N18" s="83"/>
      <c r="P18"/>
      <c r="Q18" s="58"/>
    </row>
    <row r="19" spans="1:17" x14ac:dyDescent="0.25">
      <c r="A19" s="7" t="s">
        <v>231</v>
      </c>
      <c r="B19" s="7" t="s">
        <v>232</v>
      </c>
      <c r="C19" s="7">
        <v>1</v>
      </c>
      <c r="D19" s="7" t="s">
        <v>292</v>
      </c>
      <c r="E19" s="38">
        <f t="shared" ref="E19:E24" ca="1" si="2">((YEAR(TODAY())-YEAR(K19))*12+MONTH(TODAY())-MONTH(K19))/12</f>
        <v>5.5</v>
      </c>
      <c r="F19" s="39" t="s">
        <v>293</v>
      </c>
      <c r="G19" s="7" t="s">
        <v>167</v>
      </c>
      <c r="H19" s="7" t="s">
        <v>292</v>
      </c>
      <c r="I19" s="40">
        <v>46125</v>
      </c>
      <c r="J19" s="7" t="s">
        <v>295</v>
      </c>
      <c r="K19" s="41">
        <v>44172</v>
      </c>
      <c r="L19" s="7" t="s">
        <v>236</v>
      </c>
      <c r="M19" s="41">
        <v>31221</v>
      </c>
      <c r="N19" s="83" t="s">
        <v>296</v>
      </c>
      <c r="P19" t="e">
        <f>VLOOKUP(#REF!,'[1]0524'!$B$3:$B$125,1,0)</f>
        <v>#REF!</v>
      </c>
    </row>
    <row r="20" spans="1:17" x14ac:dyDescent="0.25">
      <c r="A20" s="7" t="s">
        <v>231</v>
      </c>
      <c r="B20" s="7" t="s">
        <v>232</v>
      </c>
      <c r="C20" s="7">
        <v>2</v>
      </c>
      <c r="D20" s="7" t="s">
        <v>297</v>
      </c>
      <c r="E20" s="38">
        <f t="shared" ca="1" si="2"/>
        <v>2.3333333333333335</v>
      </c>
      <c r="F20" s="43" t="s">
        <v>298</v>
      </c>
      <c r="G20" s="6" t="s">
        <v>589</v>
      </c>
      <c r="H20" s="7" t="s">
        <v>297</v>
      </c>
      <c r="I20" s="40"/>
      <c r="J20" s="7" t="s">
        <v>299</v>
      </c>
      <c r="K20" s="53">
        <v>45334</v>
      </c>
      <c r="L20" s="7" t="s">
        <v>236</v>
      </c>
      <c r="M20" s="41">
        <v>32768</v>
      </c>
      <c r="N20" s="83"/>
      <c r="P20" t="e">
        <f>VLOOKUP(#REF!,'[1]0524'!$B$3:$B$125,1,0)</f>
        <v>#REF!</v>
      </c>
    </row>
    <row r="21" spans="1:17" x14ac:dyDescent="0.25">
      <c r="A21" s="7" t="s">
        <v>231</v>
      </c>
      <c r="B21" s="7" t="s">
        <v>232</v>
      </c>
      <c r="C21" s="7">
        <v>3</v>
      </c>
      <c r="D21" s="7" t="s">
        <v>300</v>
      </c>
      <c r="E21" s="38">
        <f t="shared" ca="1" si="2"/>
        <v>1.9166666666666667</v>
      </c>
      <c r="F21" s="43" t="s">
        <v>301</v>
      </c>
      <c r="G21" s="6" t="s">
        <v>590</v>
      </c>
      <c r="H21" s="7" t="s">
        <v>300</v>
      </c>
      <c r="I21" s="40"/>
      <c r="J21" s="7" t="s">
        <v>299</v>
      </c>
      <c r="K21" s="53">
        <v>45481</v>
      </c>
      <c r="L21" s="7" t="s">
        <v>236</v>
      </c>
      <c r="M21" s="41">
        <v>35959</v>
      </c>
      <c r="N21" s="83"/>
      <c r="P21"/>
    </row>
    <row r="22" spans="1:17" x14ac:dyDescent="0.25">
      <c r="A22" s="7" t="s">
        <v>231</v>
      </c>
      <c r="B22" s="7" t="s">
        <v>232</v>
      </c>
      <c r="C22" s="7">
        <v>4</v>
      </c>
      <c r="D22" s="7" t="s">
        <v>302</v>
      </c>
      <c r="E22" s="38">
        <f t="shared" ca="1" si="2"/>
        <v>1.3333333333333333</v>
      </c>
      <c r="F22" s="43" t="s">
        <v>303</v>
      </c>
      <c r="G22" s="6" t="s">
        <v>591</v>
      </c>
      <c r="H22" s="7" t="s">
        <v>302</v>
      </c>
      <c r="I22" s="40"/>
      <c r="J22" s="7" t="s">
        <v>299</v>
      </c>
      <c r="K22" s="53">
        <v>45713</v>
      </c>
      <c r="L22" s="7" t="s">
        <v>236</v>
      </c>
      <c r="M22" s="41">
        <v>35233</v>
      </c>
      <c r="N22" s="83"/>
      <c r="P22"/>
    </row>
    <row r="23" spans="1:17" x14ac:dyDescent="0.25">
      <c r="A23" s="7" t="s">
        <v>231</v>
      </c>
      <c r="B23" s="7" t="s">
        <v>232</v>
      </c>
      <c r="C23" s="7">
        <v>5</v>
      </c>
      <c r="D23" s="7" t="s">
        <v>304</v>
      </c>
      <c r="E23" s="38">
        <f t="shared" ca="1" si="2"/>
        <v>1</v>
      </c>
      <c r="F23" s="43" t="s">
        <v>305</v>
      </c>
      <c r="G23" s="6" t="s">
        <v>592</v>
      </c>
      <c r="H23" s="7" t="s">
        <v>304</v>
      </c>
      <c r="I23" s="40">
        <v>46111</v>
      </c>
      <c r="J23" s="7" t="s">
        <v>299</v>
      </c>
      <c r="K23" s="53">
        <v>45838</v>
      </c>
      <c r="L23" s="7" t="s">
        <v>306</v>
      </c>
      <c r="M23" s="41">
        <v>37450</v>
      </c>
      <c r="N23" s="83"/>
      <c r="P23"/>
    </row>
    <row r="24" spans="1:17" x14ac:dyDescent="0.25">
      <c r="A24" s="7" t="s">
        <v>231</v>
      </c>
      <c r="B24" s="7" t="s">
        <v>232</v>
      </c>
      <c r="C24" s="7">
        <v>6</v>
      </c>
      <c r="D24" s="7" t="s">
        <v>307</v>
      </c>
      <c r="E24" s="38">
        <f t="shared" ca="1" si="2"/>
        <v>4.916666666666667</v>
      </c>
      <c r="F24" s="43">
        <v>2830811802</v>
      </c>
      <c r="G24" s="6" t="s">
        <v>604</v>
      </c>
      <c r="H24" s="7" t="s">
        <v>307</v>
      </c>
      <c r="I24" s="40"/>
      <c r="J24" s="7" t="s">
        <v>299</v>
      </c>
      <c r="K24" s="53">
        <v>44403</v>
      </c>
      <c r="L24" s="7" t="s">
        <v>236</v>
      </c>
      <c r="M24" s="41">
        <v>32155</v>
      </c>
      <c r="N24" s="83"/>
      <c r="P24"/>
    </row>
    <row r="25" spans="1:17" x14ac:dyDescent="0.25">
      <c r="A25" s="7" t="s">
        <v>231</v>
      </c>
      <c r="B25" s="7" t="s">
        <v>232</v>
      </c>
      <c r="C25" s="7">
        <v>8</v>
      </c>
      <c r="D25" s="7" t="s">
        <v>309</v>
      </c>
      <c r="E25" s="38">
        <f ca="1">((YEAR(TODAY())-YEAR(K25))*12+MONTH(TODAY())-MONTH(K25))/12</f>
        <v>0.58333333333333337</v>
      </c>
      <c r="F25" s="43" t="s">
        <v>310</v>
      </c>
      <c r="G25" s="6" t="s">
        <v>155</v>
      </c>
      <c r="H25" s="7" t="s">
        <v>309</v>
      </c>
      <c r="I25" s="40"/>
      <c r="J25" s="7" t="s">
        <v>299</v>
      </c>
      <c r="K25" s="53">
        <v>45978</v>
      </c>
      <c r="L25" s="7" t="s">
        <v>236</v>
      </c>
      <c r="M25" s="44">
        <v>31614</v>
      </c>
      <c r="N25" s="83"/>
      <c r="P25"/>
    </row>
    <row r="26" spans="1:17" x14ac:dyDescent="0.25">
      <c r="A26" s="7" t="s">
        <v>231</v>
      </c>
      <c r="B26" s="7" t="s">
        <v>232</v>
      </c>
      <c r="C26" s="7">
        <v>9</v>
      </c>
      <c r="D26" s="7" t="s">
        <v>312</v>
      </c>
      <c r="E26" s="38">
        <f ca="1">((YEAR(TODAY())-YEAR(K26))*12+MONTH(TODAY())-MONTH(K26))/12</f>
        <v>0.58333333333333337</v>
      </c>
      <c r="F26" s="43" t="s">
        <v>313</v>
      </c>
      <c r="G26" s="6" t="s">
        <v>163</v>
      </c>
      <c r="H26" s="7" t="s">
        <v>312</v>
      </c>
      <c r="I26" s="40"/>
      <c r="J26" s="7" t="s">
        <v>299</v>
      </c>
      <c r="K26" s="53">
        <v>45979</v>
      </c>
      <c r="L26" s="7" t="s">
        <v>236</v>
      </c>
      <c r="M26" s="44">
        <v>31274</v>
      </c>
      <c r="N26" s="83"/>
      <c r="P26"/>
    </row>
    <row r="27" spans="1:17" x14ac:dyDescent="0.25">
      <c r="A27" s="7" t="s">
        <v>231</v>
      </c>
      <c r="B27" s="7" t="s">
        <v>232</v>
      </c>
      <c r="C27" s="7">
        <v>1</v>
      </c>
      <c r="D27" s="7" t="s">
        <v>317</v>
      </c>
      <c r="E27" s="38">
        <f ca="1">((YEAR(TODAY())-YEAR(K27))*12+MONTH(TODAY())-MONTH(K27))/12</f>
        <v>4.583333333333333</v>
      </c>
      <c r="F27" s="39">
        <v>2830825579</v>
      </c>
      <c r="G27" s="7" t="s">
        <v>560</v>
      </c>
      <c r="H27" s="7" t="s">
        <v>317</v>
      </c>
      <c r="I27" s="40"/>
      <c r="J27" s="7" t="s">
        <v>319</v>
      </c>
      <c r="K27" s="41">
        <v>44525</v>
      </c>
      <c r="L27" s="7" t="s">
        <v>236</v>
      </c>
      <c r="M27" s="41">
        <v>27249</v>
      </c>
      <c r="N27" s="83"/>
      <c r="P27" t="e">
        <f>VLOOKUP(#REF!,'[1]0524'!$B$3:$B$125,1,0)</f>
        <v>#REF!</v>
      </c>
    </row>
    <row r="28" spans="1:17" x14ac:dyDescent="0.25">
      <c r="A28" s="7" t="s">
        <v>231</v>
      </c>
      <c r="B28" s="7" t="s">
        <v>232</v>
      </c>
      <c r="C28" s="7">
        <v>2</v>
      </c>
      <c r="D28" s="7" t="s">
        <v>320</v>
      </c>
      <c r="E28" s="38">
        <f t="shared" ref="E28:E33" ca="1" si="3">((YEAR(TODAY())-YEAR(K28))*12+MONTH(TODAY())-MONTH(K28))/12</f>
        <v>4.5</v>
      </c>
      <c r="F28" s="39">
        <v>1393317101</v>
      </c>
      <c r="G28" s="7" t="s">
        <v>562</v>
      </c>
      <c r="H28" s="7" t="s">
        <v>320</v>
      </c>
      <c r="I28" s="40"/>
      <c r="J28" s="7" t="s">
        <v>321</v>
      </c>
      <c r="K28" s="41">
        <v>44533</v>
      </c>
      <c r="L28" s="7" t="s">
        <v>236</v>
      </c>
      <c r="M28" s="41">
        <v>32685</v>
      </c>
      <c r="N28" s="83"/>
      <c r="P28" t="e">
        <f>VLOOKUP(#REF!,'[1]0524'!$B$3:$B$125,1,0)</f>
        <v>#REF!</v>
      </c>
    </row>
    <row r="29" spans="1:17" x14ac:dyDescent="0.25">
      <c r="A29" s="7" t="s">
        <v>231</v>
      </c>
      <c r="B29" s="7" t="s">
        <v>232</v>
      </c>
      <c r="C29" s="7">
        <v>3</v>
      </c>
      <c r="D29" s="7" t="s">
        <v>322</v>
      </c>
      <c r="E29" s="38">
        <f t="shared" ca="1" si="3"/>
        <v>4.416666666666667</v>
      </c>
      <c r="F29" s="39">
        <v>1760203960</v>
      </c>
      <c r="G29" s="7" t="s">
        <v>563</v>
      </c>
      <c r="H29" s="7" t="s">
        <v>322</v>
      </c>
      <c r="I29" s="40"/>
      <c r="J29" s="7" t="s">
        <v>319</v>
      </c>
      <c r="K29" s="41">
        <v>44572</v>
      </c>
      <c r="L29" s="7" t="s">
        <v>236</v>
      </c>
      <c r="M29" s="41">
        <v>32726</v>
      </c>
      <c r="N29" s="83"/>
      <c r="P29" t="str">
        <f>VLOOKUP(D27,'[1]0524'!$B$3:$B$125,1,0)</f>
        <v>PMD2111013</v>
      </c>
    </row>
    <row r="30" spans="1:17" x14ac:dyDescent="0.25">
      <c r="A30" s="7" t="s">
        <v>231</v>
      </c>
      <c r="B30" s="7" t="s">
        <v>232</v>
      </c>
      <c r="C30" s="7">
        <v>4</v>
      </c>
      <c r="D30" s="7" t="s">
        <v>324</v>
      </c>
      <c r="E30" s="38">
        <f t="shared" ca="1" si="3"/>
        <v>4</v>
      </c>
      <c r="F30" s="39">
        <v>4372932876</v>
      </c>
      <c r="G30" s="7" t="s">
        <v>559</v>
      </c>
      <c r="H30" s="7" t="s">
        <v>324</v>
      </c>
      <c r="I30" s="40"/>
      <c r="J30" s="7" t="s">
        <v>325</v>
      </c>
      <c r="K30" s="41">
        <v>44732</v>
      </c>
      <c r="L30" s="7" t="s">
        <v>236</v>
      </c>
      <c r="M30" s="41">
        <v>29884</v>
      </c>
      <c r="N30" s="83"/>
      <c r="P30" t="e">
        <f>VLOOKUP(#REF!,'[1]0524'!$B$3:$B$125,1,0)</f>
        <v>#REF!</v>
      </c>
    </row>
    <row r="31" spans="1:17" x14ac:dyDescent="0.25">
      <c r="A31" s="7" t="s">
        <v>231</v>
      </c>
      <c r="B31" s="7" t="s">
        <v>232</v>
      </c>
      <c r="C31" s="7">
        <v>5</v>
      </c>
      <c r="D31" s="7" t="s">
        <v>326</v>
      </c>
      <c r="E31" s="38">
        <f t="shared" ca="1" si="3"/>
        <v>2.8333333333333335</v>
      </c>
      <c r="F31" s="52" t="s">
        <v>327</v>
      </c>
      <c r="G31" s="7" t="s">
        <v>558</v>
      </c>
      <c r="H31" s="7" t="s">
        <v>326</v>
      </c>
      <c r="I31" s="40">
        <v>46136</v>
      </c>
      <c r="J31" s="7" t="s">
        <v>319</v>
      </c>
      <c r="K31" s="53">
        <v>45139</v>
      </c>
      <c r="L31" s="7" t="s">
        <v>236</v>
      </c>
      <c r="M31" s="41">
        <v>33909</v>
      </c>
      <c r="N31" s="83" t="s">
        <v>296</v>
      </c>
      <c r="P31" t="e">
        <f>VLOOKUP(D28,'[1]0524'!$B$3:$B$125,1,0)</f>
        <v>#N/A</v>
      </c>
    </row>
    <row r="32" spans="1:17" x14ac:dyDescent="0.25">
      <c r="A32" s="7" t="s">
        <v>231</v>
      </c>
      <c r="B32" s="7" t="s">
        <v>232</v>
      </c>
      <c r="C32" s="7">
        <v>6</v>
      </c>
      <c r="D32" s="61" t="s">
        <v>61</v>
      </c>
      <c r="E32" s="38">
        <f t="shared" ca="1" si="3"/>
        <v>0.33333333333333331</v>
      </c>
      <c r="F32" s="43" t="s">
        <v>62</v>
      </c>
      <c r="G32" s="7" t="s">
        <v>60</v>
      </c>
      <c r="H32" s="61" t="s">
        <v>61</v>
      </c>
      <c r="I32" s="40"/>
      <c r="J32" s="7" t="s">
        <v>319</v>
      </c>
      <c r="K32" s="44">
        <v>46057</v>
      </c>
      <c r="L32" s="7" t="s">
        <v>236</v>
      </c>
      <c r="M32" s="44">
        <v>32046</v>
      </c>
      <c r="N32" s="83"/>
      <c r="P32"/>
    </row>
    <row r="33" spans="1:17" x14ac:dyDescent="0.25">
      <c r="A33" s="7" t="s">
        <v>231</v>
      </c>
      <c r="B33" s="7" t="s">
        <v>232</v>
      </c>
      <c r="C33" s="7">
        <v>7</v>
      </c>
      <c r="D33" s="61" t="s">
        <v>72</v>
      </c>
      <c r="E33" s="38">
        <f t="shared" ca="1" si="3"/>
        <v>0.33333333333333331</v>
      </c>
      <c r="F33" s="43" t="s">
        <v>73</v>
      </c>
      <c r="G33" s="7" t="s">
        <v>564</v>
      </c>
      <c r="H33" s="61" t="s">
        <v>72</v>
      </c>
      <c r="I33" s="40"/>
      <c r="J33" s="7" t="s">
        <v>330</v>
      </c>
      <c r="K33" s="44">
        <v>46073</v>
      </c>
      <c r="L33" s="7" t="s">
        <v>236</v>
      </c>
      <c r="M33" s="44">
        <v>31175</v>
      </c>
      <c r="N33" s="83"/>
      <c r="P33"/>
    </row>
    <row r="34" spans="1:17" x14ac:dyDescent="0.25">
      <c r="A34" s="7" t="s">
        <v>231</v>
      </c>
      <c r="B34" s="7" t="s">
        <v>232</v>
      </c>
      <c r="C34" s="7">
        <v>1</v>
      </c>
      <c r="D34" s="7" t="s">
        <v>332</v>
      </c>
      <c r="E34" s="38">
        <f ca="1">((YEAR(TODAY())-YEAR(K34))*12+MONTH(TODAY())-MONTH(K34))/12</f>
        <v>4.083333333333333</v>
      </c>
      <c r="F34" s="39">
        <v>8100893330</v>
      </c>
      <c r="G34" s="7" t="s">
        <v>544</v>
      </c>
      <c r="H34" s="7" t="s">
        <v>332</v>
      </c>
      <c r="I34" s="40"/>
      <c r="J34" s="7" t="s">
        <v>333</v>
      </c>
      <c r="K34" s="41">
        <v>44706</v>
      </c>
      <c r="L34" s="7" t="s">
        <v>236</v>
      </c>
      <c r="M34" s="44">
        <v>35135</v>
      </c>
      <c r="N34" s="83"/>
      <c r="P34" t="e">
        <f>VLOOKUP(#REF!,'[1]0524'!$B$3:$B$125,1,0)</f>
        <v>#REF!</v>
      </c>
    </row>
    <row r="35" spans="1:17" x14ac:dyDescent="0.25">
      <c r="A35" s="7" t="s">
        <v>231</v>
      </c>
      <c r="B35" s="7" t="s">
        <v>232</v>
      </c>
      <c r="C35" s="7">
        <v>1</v>
      </c>
      <c r="D35" s="7" t="s">
        <v>337</v>
      </c>
      <c r="E35" s="38">
        <f ca="1">((YEAR(TODAY())-YEAR(K35))*12+MONTH(TODAY())-MONTH(K35))/12</f>
        <v>1</v>
      </c>
      <c r="F35" s="52" t="s">
        <v>338</v>
      </c>
      <c r="G35" s="6" t="s">
        <v>572</v>
      </c>
      <c r="H35" s="7" t="s">
        <v>337</v>
      </c>
      <c r="I35" s="40">
        <v>46146</v>
      </c>
      <c r="J35" s="7" t="s">
        <v>339</v>
      </c>
      <c r="K35" s="57">
        <v>45817</v>
      </c>
      <c r="L35" s="7" t="s">
        <v>236</v>
      </c>
      <c r="M35" s="57">
        <v>30054</v>
      </c>
      <c r="N35" s="83" t="s">
        <v>296</v>
      </c>
      <c r="P35"/>
    </row>
    <row r="36" spans="1:17" x14ac:dyDescent="0.25">
      <c r="A36" s="7" t="s">
        <v>231</v>
      </c>
      <c r="B36" s="7" t="s">
        <v>232</v>
      </c>
      <c r="C36" s="7">
        <v>2</v>
      </c>
      <c r="D36" s="7" t="s">
        <v>340</v>
      </c>
      <c r="E36" s="38">
        <f t="shared" ref="E36:E40" ca="1" si="4">((YEAR(TODAY())-YEAR(K36))*12+MONTH(TODAY())-MONTH(K36))/12</f>
        <v>6.75</v>
      </c>
      <c r="F36" s="39">
        <v>3370017751</v>
      </c>
      <c r="G36" s="7" t="s">
        <v>605</v>
      </c>
      <c r="H36" s="7" t="s">
        <v>340</v>
      </c>
      <c r="I36" s="40"/>
      <c r="J36" s="7" t="s">
        <v>342</v>
      </c>
      <c r="K36" s="41">
        <v>43731</v>
      </c>
      <c r="L36" s="7" t="s">
        <v>236</v>
      </c>
      <c r="M36" s="41">
        <v>33253</v>
      </c>
      <c r="N36" s="83"/>
      <c r="P36" t="e">
        <f>VLOOKUP(#REF!,'[1]0524'!$B$3:$B$125,1,0)</f>
        <v>#REF!</v>
      </c>
    </row>
    <row r="37" spans="1:17" x14ac:dyDescent="0.25">
      <c r="A37" s="7" t="s">
        <v>231</v>
      </c>
      <c r="B37" s="7" t="s">
        <v>232</v>
      </c>
      <c r="C37" s="7">
        <v>3</v>
      </c>
      <c r="D37" s="7" t="s">
        <v>343</v>
      </c>
      <c r="E37" s="38">
        <f t="shared" ca="1" si="4"/>
        <v>5.083333333333333</v>
      </c>
      <c r="F37" s="39">
        <v>8720710197</v>
      </c>
      <c r="G37" s="7" t="s">
        <v>575</v>
      </c>
      <c r="H37" s="7" t="s">
        <v>343</v>
      </c>
      <c r="I37" s="40"/>
      <c r="J37" s="7" t="s">
        <v>342</v>
      </c>
      <c r="K37" s="41">
        <v>44341</v>
      </c>
      <c r="L37" s="7" t="s">
        <v>236</v>
      </c>
      <c r="M37" s="41">
        <v>32708</v>
      </c>
      <c r="N37" s="83"/>
      <c r="P37" t="e">
        <f>VLOOKUP(#REF!,'[1]0524'!$B$3:$B$125,1,0)</f>
        <v>#REF!</v>
      </c>
    </row>
    <row r="38" spans="1:17" x14ac:dyDescent="0.25">
      <c r="A38" s="7" t="s">
        <v>231</v>
      </c>
      <c r="B38" s="7" t="s">
        <v>232</v>
      </c>
      <c r="C38" s="7">
        <v>4</v>
      </c>
      <c r="D38" s="7" t="s">
        <v>345</v>
      </c>
      <c r="E38" s="38">
        <f t="shared" ca="1" si="4"/>
        <v>2.0833333333333335</v>
      </c>
      <c r="F38" s="52" t="s">
        <v>346</v>
      </c>
      <c r="G38" s="7" t="s">
        <v>573</v>
      </c>
      <c r="H38" s="7" t="s">
        <v>345</v>
      </c>
      <c r="I38" s="40"/>
      <c r="J38" s="7" t="s">
        <v>342</v>
      </c>
      <c r="K38" s="53">
        <v>45426</v>
      </c>
      <c r="L38" s="7" t="s">
        <v>236</v>
      </c>
      <c r="M38" s="41">
        <v>31565</v>
      </c>
      <c r="N38" s="83"/>
      <c r="P38"/>
    </row>
    <row r="39" spans="1:17" x14ac:dyDescent="0.25">
      <c r="A39" s="7" t="s">
        <v>231</v>
      </c>
      <c r="B39" s="7" t="s">
        <v>232</v>
      </c>
      <c r="C39" s="7">
        <v>5</v>
      </c>
      <c r="D39" s="7" t="s">
        <v>348</v>
      </c>
      <c r="E39" s="38">
        <f t="shared" ca="1" si="4"/>
        <v>1.5833333333333333</v>
      </c>
      <c r="F39" s="43" t="s">
        <v>349</v>
      </c>
      <c r="G39" s="7" t="s">
        <v>574</v>
      </c>
      <c r="H39" s="7" t="s">
        <v>348</v>
      </c>
      <c r="I39" s="40"/>
      <c r="J39" s="7" t="s">
        <v>342</v>
      </c>
      <c r="K39" s="57">
        <v>45616</v>
      </c>
      <c r="L39" s="7" t="s">
        <v>236</v>
      </c>
      <c r="M39" s="57">
        <v>34033</v>
      </c>
      <c r="N39" s="83"/>
      <c r="P39"/>
      <c r="Q39" s="2"/>
    </row>
    <row r="40" spans="1:17" x14ac:dyDescent="0.25">
      <c r="A40" s="7" t="s">
        <v>231</v>
      </c>
      <c r="B40" s="7" t="s">
        <v>232</v>
      </c>
      <c r="C40" s="7">
        <v>6</v>
      </c>
      <c r="D40" s="7" t="s">
        <v>93</v>
      </c>
      <c r="E40" s="38">
        <f t="shared" ca="1" si="4"/>
        <v>0.75</v>
      </c>
      <c r="F40" s="43" t="s">
        <v>94</v>
      </c>
      <c r="G40" s="7" t="s">
        <v>92</v>
      </c>
      <c r="H40" s="7" t="s">
        <v>93</v>
      </c>
      <c r="I40" s="40"/>
      <c r="J40" s="7" t="s">
        <v>352</v>
      </c>
      <c r="K40" s="57">
        <v>45901</v>
      </c>
      <c r="L40" s="7" t="s">
        <v>236</v>
      </c>
      <c r="M40" s="44">
        <v>34609</v>
      </c>
      <c r="N40" s="83"/>
      <c r="P40"/>
      <c r="Q40" s="2"/>
    </row>
    <row r="41" spans="1:17" x14ac:dyDescent="0.25">
      <c r="A41" s="7" t="s">
        <v>231</v>
      </c>
      <c r="B41" s="7" t="s">
        <v>232</v>
      </c>
      <c r="C41" s="7">
        <v>1</v>
      </c>
      <c r="D41" s="7" t="s">
        <v>56</v>
      </c>
      <c r="E41" s="38">
        <f ca="1">((YEAR(TODAY())-YEAR(K41))*12+MONTH(TODAY())-MONTH(K41))/12</f>
        <v>2.0833333333333335</v>
      </c>
      <c r="F41" s="52" t="s">
        <v>57</v>
      </c>
      <c r="G41" s="7" t="s">
        <v>557</v>
      </c>
      <c r="H41" s="7" t="s">
        <v>56</v>
      </c>
      <c r="I41" s="44"/>
      <c r="J41" s="7" t="s">
        <v>356</v>
      </c>
      <c r="K41" s="41">
        <v>45414</v>
      </c>
      <c r="L41" s="7" t="s">
        <v>236</v>
      </c>
      <c r="M41" s="44">
        <v>35387</v>
      </c>
      <c r="N41" s="83"/>
      <c r="P41"/>
    </row>
    <row r="42" spans="1:17" x14ac:dyDescent="0.25">
      <c r="A42" s="7" t="s">
        <v>231</v>
      </c>
      <c r="B42" s="7" t="s">
        <v>232</v>
      </c>
      <c r="C42" s="7">
        <v>2</v>
      </c>
      <c r="D42" s="7" t="s">
        <v>357</v>
      </c>
      <c r="E42" s="38">
        <f t="shared" ref="E42:E45" ca="1" si="5">((YEAR(TODAY())-YEAR(K42))*12+MONTH(TODAY())-MONTH(K42))/12</f>
        <v>5.75</v>
      </c>
      <c r="F42" s="39">
        <v>5735335861</v>
      </c>
      <c r="G42" s="7" t="s">
        <v>554</v>
      </c>
      <c r="H42" s="7" t="s">
        <v>357</v>
      </c>
      <c r="I42" s="44"/>
      <c r="J42" s="62" t="s">
        <v>359</v>
      </c>
      <c r="K42" s="41">
        <v>44099</v>
      </c>
      <c r="L42" s="7" t="s">
        <v>236</v>
      </c>
      <c r="M42" s="41">
        <v>30179</v>
      </c>
      <c r="N42" s="83"/>
      <c r="P42" t="e">
        <f>VLOOKUP(#REF!,'[1]0524'!$B$3:$B$125,1,0)</f>
        <v>#REF!</v>
      </c>
    </row>
    <row r="43" spans="1:17" x14ac:dyDescent="0.25">
      <c r="A43" s="7" t="s">
        <v>231</v>
      </c>
      <c r="B43" s="7" t="s">
        <v>232</v>
      </c>
      <c r="C43" s="7">
        <v>3</v>
      </c>
      <c r="D43" s="7" t="s">
        <v>360</v>
      </c>
      <c r="E43" s="38">
        <f t="shared" ca="1" si="5"/>
        <v>4.5</v>
      </c>
      <c r="F43" s="39">
        <v>5015250876</v>
      </c>
      <c r="G43" s="7" t="s">
        <v>553</v>
      </c>
      <c r="H43" s="7" t="s">
        <v>360</v>
      </c>
      <c r="I43" s="44"/>
      <c r="J43" s="7" t="s">
        <v>359</v>
      </c>
      <c r="K43" s="41">
        <v>44531</v>
      </c>
      <c r="L43" s="7" t="s">
        <v>236</v>
      </c>
      <c r="M43" s="41">
        <v>33197</v>
      </c>
      <c r="N43" s="83"/>
      <c r="P43" t="e">
        <f>VLOOKUP(#REF!,'[1]0524'!$B$3:$B$125,1,0)</f>
        <v>#REF!</v>
      </c>
    </row>
    <row r="44" spans="1:17" x14ac:dyDescent="0.25">
      <c r="A44" s="7" t="s">
        <v>231</v>
      </c>
      <c r="B44" s="7" t="s">
        <v>232</v>
      </c>
      <c r="C44" s="7">
        <v>4</v>
      </c>
      <c r="D44" s="62" t="s">
        <v>53</v>
      </c>
      <c r="E44" s="38">
        <f t="shared" ca="1" si="5"/>
        <v>3.5833333333333335</v>
      </c>
      <c r="F44" s="63" t="s">
        <v>54</v>
      </c>
      <c r="G44" s="62" t="s">
        <v>556</v>
      </c>
      <c r="H44" s="62" t="s">
        <v>53</v>
      </c>
      <c r="I44" s="44"/>
      <c r="J44" s="62" t="s">
        <v>363</v>
      </c>
      <c r="K44" s="64">
        <v>44875</v>
      </c>
      <c r="L44" s="62" t="s">
        <v>236</v>
      </c>
      <c r="M44" s="64">
        <v>29884</v>
      </c>
      <c r="N44" s="83"/>
      <c r="P44" t="e">
        <f>VLOOKUP(D41,'[1]0524'!$B$3:$B$125,1,0)</f>
        <v>#N/A</v>
      </c>
    </row>
    <row r="45" spans="1:17" x14ac:dyDescent="0.25">
      <c r="A45" s="7" t="s">
        <v>231</v>
      </c>
      <c r="B45" s="7" t="s">
        <v>232</v>
      </c>
      <c r="C45" s="7">
        <v>5</v>
      </c>
      <c r="D45" s="7" t="s">
        <v>364</v>
      </c>
      <c r="E45" s="38">
        <f t="shared" ca="1" si="5"/>
        <v>2.0833333333333335</v>
      </c>
      <c r="F45" s="43" t="s">
        <v>365</v>
      </c>
      <c r="G45" s="6" t="s">
        <v>551</v>
      </c>
      <c r="H45" s="7" t="s">
        <v>364</v>
      </c>
      <c r="I45" s="44"/>
      <c r="J45" s="7" t="s">
        <v>359</v>
      </c>
      <c r="K45" s="53">
        <v>45414</v>
      </c>
      <c r="L45" s="7" t="s">
        <v>236</v>
      </c>
      <c r="M45" s="41">
        <v>34399</v>
      </c>
      <c r="N45" s="83"/>
      <c r="P45" t="str">
        <f>VLOOKUP(D42,'[1]0524'!$B$3:$B$125,1,0)</f>
        <v>PMB2009005</v>
      </c>
    </row>
    <row r="46" spans="1:17" s="42" customFormat="1" x14ac:dyDescent="0.25">
      <c r="A46" s="7" t="s">
        <v>231</v>
      </c>
      <c r="B46" s="7" t="s">
        <v>232</v>
      </c>
      <c r="C46" s="7">
        <v>6</v>
      </c>
      <c r="D46" s="62" t="s">
        <v>367</v>
      </c>
      <c r="E46" s="38">
        <f ca="1">((YEAR(TODAY())-YEAR(K46))*12+MONTH(TODAY())-MONTH(K46))/12</f>
        <v>3.5</v>
      </c>
      <c r="F46" s="63">
        <v>7402130230</v>
      </c>
      <c r="G46" s="62" t="s">
        <v>552</v>
      </c>
      <c r="H46" s="62" t="s">
        <v>367</v>
      </c>
      <c r="I46" s="44"/>
      <c r="J46" s="7" t="s">
        <v>359</v>
      </c>
      <c r="K46" s="64">
        <v>44903</v>
      </c>
      <c r="L46" s="62" t="s">
        <v>236</v>
      </c>
      <c r="M46" s="64">
        <v>35619</v>
      </c>
      <c r="N46" s="83"/>
      <c r="O46"/>
      <c r="P46" t="str">
        <f>VLOOKUP(D43,'[1]0524'!$B$3:$B$125,1,0)</f>
        <v>PMB2112002</v>
      </c>
      <c r="Q46"/>
    </row>
    <row r="47" spans="1:17" s="42" customFormat="1" x14ac:dyDescent="0.25">
      <c r="A47" s="7" t="s">
        <v>231</v>
      </c>
      <c r="B47" s="7" t="s">
        <v>232</v>
      </c>
      <c r="C47" s="7">
        <v>7</v>
      </c>
      <c r="D47" s="61" t="s">
        <v>49</v>
      </c>
      <c r="E47" s="38">
        <f ca="1">((YEAR(TODAY())-YEAR(K47))*12+MONTH(TODAY())-MONTH(K47))/12</f>
        <v>0.33333333333333331</v>
      </c>
      <c r="F47" s="43" t="s">
        <v>50</v>
      </c>
      <c r="G47" s="62" t="s">
        <v>555</v>
      </c>
      <c r="H47" s="61" t="s">
        <v>49</v>
      </c>
      <c r="I47" s="44"/>
      <c r="J47" s="7" t="s">
        <v>359</v>
      </c>
      <c r="K47" s="44">
        <v>46066</v>
      </c>
      <c r="L47" s="62" t="s">
        <v>236</v>
      </c>
      <c r="M47" s="44">
        <v>29874</v>
      </c>
      <c r="N47" s="83"/>
      <c r="O47"/>
      <c r="P47"/>
      <c r="Q47"/>
    </row>
    <row r="48" spans="1:17" x14ac:dyDescent="0.25">
      <c r="A48" s="7" t="s">
        <v>231</v>
      </c>
      <c r="B48" s="7" t="s">
        <v>232</v>
      </c>
      <c r="C48" s="7">
        <v>1</v>
      </c>
      <c r="D48" s="7" t="s">
        <v>371</v>
      </c>
      <c r="E48" s="38">
        <f ca="1">((YEAR(TODAY())-YEAR(K48))*12+MONTH(TODAY())-MONTH(K48))/12</f>
        <v>4</v>
      </c>
      <c r="F48" s="39" t="s">
        <v>372</v>
      </c>
      <c r="G48" s="7" t="s">
        <v>598</v>
      </c>
      <c r="H48" s="7" t="s">
        <v>371</v>
      </c>
      <c r="I48" s="44"/>
      <c r="J48" s="7" t="s">
        <v>373</v>
      </c>
      <c r="K48" s="41">
        <v>44739</v>
      </c>
      <c r="L48" s="7" t="s">
        <v>236</v>
      </c>
      <c r="M48" s="41">
        <v>32189</v>
      </c>
      <c r="N48" s="83"/>
      <c r="P48" t="e">
        <f>VLOOKUP(#REF!,'[1]0524'!$B$3:$B$125,1,0)</f>
        <v>#REF!</v>
      </c>
    </row>
    <row r="49" spans="1:17" x14ac:dyDescent="0.25">
      <c r="A49" s="7" t="s">
        <v>231</v>
      </c>
      <c r="B49" s="7" t="s">
        <v>232</v>
      </c>
      <c r="C49" s="7">
        <v>2</v>
      </c>
      <c r="D49" s="7" t="s">
        <v>374</v>
      </c>
      <c r="E49" s="38">
        <f t="shared" ref="E49:E53" ca="1" si="6">((YEAR(TODAY())-YEAR(K49))*12+MONTH(TODAY())-MONTH(K49))/12</f>
        <v>3.3333333333333335</v>
      </c>
      <c r="F49" s="52" t="s">
        <v>375</v>
      </c>
      <c r="G49" s="7" t="s">
        <v>597</v>
      </c>
      <c r="H49" s="7" t="s">
        <v>374</v>
      </c>
      <c r="I49" s="44"/>
      <c r="J49" s="7" t="s">
        <v>373</v>
      </c>
      <c r="K49" s="41">
        <v>44979</v>
      </c>
      <c r="L49" s="7" t="s">
        <v>236</v>
      </c>
      <c r="M49" s="41">
        <v>34936</v>
      </c>
      <c r="N49" s="83"/>
      <c r="P49" t="e">
        <f>VLOOKUP(#REF!,'[1]0524'!$B$3:$B$125,1,0)</f>
        <v>#REF!</v>
      </c>
    </row>
    <row r="50" spans="1:17" x14ac:dyDescent="0.25">
      <c r="A50" s="7" t="s">
        <v>231</v>
      </c>
      <c r="B50" s="7" t="s">
        <v>232</v>
      </c>
      <c r="C50" s="7">
        <v>3</v>
      </c>
      <c r="D50" s="7" t="s">
        <v>209</v>
      </c>
      <c r="E50" s="38">
        <f ca="1">((YEAR(TODAY())-YEAR(K50))*12+MONTH(TODAY())-MONTH(K50))/12</f>
        <v>2.9166666666666665</v>
      </c>
      <c r="F50" s="52" t="s">
        <v>210</v>
      </c>
      <c r="G50" s="7" t="s">
        <v>600</v>
      </c>
      <c r="H50" s="7" t="s">
        <v>209</v>
      </c>
      <c r="I50" s="44"/>
      <c r="J50" s="7" t="s">
        <v>377</v>
      </c>
      <c r="K50" s="53">
        <v>45124</v>
      </c>
      <c r="L50" s="7" t="s">
        <v>236</v>
      </c>
      <c r="M50" s="41">
        <v>31212</v>
      </c>
      <c r="N50" s="83"/>
      <c r="P50" t="e">
        <f>VLOOKUP(#REF!,'[1]0524'!$B$3:$B$125,1,0)</f>
        <v>#REF!</v>
      </c>
    </row>
    <row r="51" spans="1:17" s="42" customFormat="1" x14ac:dyDescent="0.25">
      <c r="A51" s="7" t="s">
        <v>231</v>
      </c>
      <c r="B51" s="7" t="s">
        <v>232</v>
      </c>
      <c r="C51" s="7">
        <v>4</v>
      </c>
      <c r="D51" s="62" t="s">
        <v>378</v>
      </c>
      <c r="E51" s="38">
        <f t="shared" ca="1" si="6"/>
        <v>3.5</v>
      </c>
      <c r="F51" s="63" t="s">
        <v>379</v>
      </c>
      <c r="G51" s="62" t="s">
        <v>599</v>
      </c>
      <c r="H51" s="62" t="s">
        <v>378</v>
      </c>
      <c r="I51" s="44"/>
      <c r="J51" s="7" t="s">
        <v>373</v>
      </c>
      <c r="K51" s="64">
        <v>44902</v>
      </c>
      <c r="L51" s="62" t="s">
        <v>236</v>
      </c>
      <c r="M51" s="64">
        <v>29785</v>
      </c>
      <c r="N51" s="83"/>
      <c r="O51"/>
      <c r="P51" t="e">
        <f>VLOOKUP(D49,'[1]0524'!$B$3:$B$125,1,0)</f>
        <v>#N/A</v>
      </c>
      <c r="Q51"/>
    </row>
    <row r="52" spans="1:17" s="42" customFormat="1" x14ac:dyDescent="0.25">
      <c r="A52" s="7" t="s">
        <v>231</v>
      </c>
      <c r="B52" s="7" t="s">
        <v>232</v>
      </c>
      <c r="C52" s="7">
        <v>5</v>
      </c>
      <c r="D52" s="62" t="s">
        <v>380</v>
      </c>
      <c r="E52" s="38">
        <f t="shared" ca="1" si="6"/>
        <v>0.83333333333333337</v>
      </c>
      <c r="F52" s="63" t="s">
        <v>381</v>
      </c>
      <c r="G52" s="62" t="s">
        <v>595</v>
      </c>
      <c r="H52" s="62" t="s">
        <v>380</v>
      </c>
      <c r="I52" s="44"/>
      <c r="J52" s="7" t="s">
        <v>373</v>
      </c>
      <c r="K52" s="44">
        <v>45894</v>
      </c>
      <c r="L52" s="62" t="s">
        <v>236</v>
      </c>
      <c r="M52" s="44">
        <v>32737</v>
      </c>
      <c r="N52" s="83"/>
      <c r="O52"/>
      <c r="P52"/>
      <c r="Q52"/>
    </row>
    <row r="53" spans="1:17" s="42" customFormat="1" x14ac:dyDescent="0.25">
      <c r="A53" s="7" t="s">
        <v>231</v>
      </c>
      <c r="B53" s="7" t="s">
        <v>232</v>
      </c>
      <c r="C53" s="7">
        <v>6</v>
      </c>
      <c r="D53" s="61" t="s">
        <v>200</v>
      </c>
      <c r="E53" s="38">
        <f t="shared" ca="1" si="6"/>
        <v>0.33333333333333331</v>
      </c>
      <c r="F53" s="43" t="s">
        <v>201</v>
      </c>
      <c r="G53" s="62" t="s">
        <v>596</v>
      </c>
      <c r="H53" s="61" t="s">
        <v>200</v>
      </c>
      <c r="I53" s="44"/>
      <c r="J53" s="7" t="s">
        <v>373</v>
      </c>
      <c r="K53" s="44">
        <v>46065</v>
      </c>
      <c r="L53" s="62" t="s">
        <v>236</v>
      </c>
      <c r="M53" s="44">
        <v>27845</v>
      </c>
      <c r="N53" s="83"/>
      <c r="O53"/>
      <c r="P53"/>
      <c r="Q53"/>
    </row>
    <row r="54" spans="1:17" s="42" customFormat="1" x14ac:dyDescent="0.25">
      <c r="A54" s="7" t="s">
        <v>231</v>
      </c>
      <c r="B54" s="7" t="s">
        <v>232</v>
      </c>
      <c r="C54" s="62">
        <v>1</v>
      </c>
      <c r="D54" s="62" t="s">
        <v>385</v>
      </c>
      <c r="E54" s="38">
        <f ca="1">((YEAR(TODAY())-YEAR(K54))*12+MONTH(TODAY())-MONTH(K54))/12</f>
        <v>4.666666666666667</v>
      </c>
      <c r="F54" s="66">
        <v>8691144780</v>
      </c>
      <c r="G54" s="62" t="s">
        <v>585</v>
      </c>
      <c r="H54" s="62" t="s">
        <v>385</v>
      </c>
      <c r="I54" s="44"/>
      <c r="J54" s="62" t="s">
        <v>386</v>
      </c>
      <c r="K54" s="64">
        <v>44496</v>
      </c>
      <c r="L54" s="62" t="s">
        <v>236</v>
      </c>
      <c r="M54" s="64">
        <v>33029</v>
      </c>
      <c r="N54" s="83"/>
      <c r="O54"/>
      <c r="P54" t="e">
        <f>VLOOKUP(#REF!,'[1]0524'!$B$3:$B$125,1,0)</f>
        <v>#REF!</v>
      </c>
      <c r="Q54"/>
    </row>
    <row r="55" spans="1:17" x14ac:dyDescent="0.25">
      <c r="A55" s="7" t="s">
        <v>231</v>
      </c>
      <c r="B55" s="7" t="s">
        <v>232</v>
      </c>
      <c r="C55" s="62">
        <v>2</v>
      </c>
      <c r="D55" s="62" t="s">
        <v>387</v>
      </c>
      <c r="E55" s="38">
        <f t="shared" ref="E55" ca="1" si="7">((YEAR(TODAY())-YEAR(K55))*12+MONTH(TODAY())-MONTH(K55))/12</f>
        <v>3.5</v>
      </c>
      <c r="F55" s="63" t="s">
        <v>388</v>
      </c>
      <c r="G55" s="62" t="s">
        <v>587</v>
      </c>
      <c r="H55" s="62" t="s">
        <v>387</v>
      </c>
      <c r="I55" s="44">
        <v>46146</v>
      </c>
      <c r="J55" s="62" t="s">
        <v>386</v>
      </c>
      <c r="K55" s="64">
        <v>44903</v>
      </c>
      <c r="L55" s="62" t="s">
        <v>236</v>
      </c>
      <c r="M55" s="64">
        <v>32542</v>
      </c>
      <c r="N55" s="83" t="s">
        <v>296</v>
      </c>
      <c r="P55" t="e">
        <f>VLOOKUP(#REF!,'[1]0524'!$B$3:$B$125,1,0)</f>
        <v>#REF!</v>
      </c>
    </row>
    <row r="56" spans="1:17" x14ac:dyDescent="0.25">
      <c r="A56" s="7" t="s">
        <v>231</v>
      </c>
      <c r="B56" s="7" t="s">
        <v>232</v>
      </c>
      <c r="C56" s="62">
        <v>3</v>
      </c>
      <c r="D56" s="7" t="s">
        <v>389</v>
      </c>
      <c r="E56" s="38">
        <f ca="1">((YEAR(TODAY())-YEAR(K56))*12+MONTH(TODAY())-MONTH(K56))/12</f>
        <v>0.66666666666666663</v>
      </c>
      <c r="F56" s="43" t="s">
        <v>390</v>
      </c>
      <c r="G56" s="6" t="s">
        <v>588</v>
      </c>
      <c r="H56" s="7" t="s">
        <v>389</v>
      </c>
      <c r="I56" s="40"/>
      <c r="J56" s="7" t="s">
        <v>386</v>
      </c>
      <c r="K56" s="53">
        <v>45944</v>
      </c>
      <c r="L56" s="7" t="s">
        <v>236</v>
      </c>
      <c r="M56" s="41">
        <v>32663</v>
      </c>
      <c r="N56" s="83"/>
      <c r="P56"/>
    </row>
    <row r="57" spans="1:17" x14ac:dyDescent="0.25">
      <c r="A57" s="7" t="s">
        <v>231</v>
      </c>
      <c r="B57" s="7" t="s">
        <v>232</v>
      </c>
      <c r="C57" s="62">
        <v>4</v>
      </c>
      <c r="D57" s="4" t="s">
        <v>391</v>
      </c>
      <c r="E57" s="38">
        <f ca="1">((YEAR(TODAY())-YEAR(K57))*12+MONTH(TODAY())-MONTH(K57))/12</f>
        <v>0.5</v>
      </c>
      <c r="F57" s="5" t="s">
        <v>392</v>
      </c>
      <c r="G57" s="6" t="s">
        <v>586</v>
      </c>
      <c r="H57" s="4" t="s">
        <v>391</v>
      </c>
      <c r="I57" s="40">
        <v>46136</v>
      </c>
      <c r="J57" s="7" t="s">
        <v>386</v>
      </c>
      <c r="K57" s="44">
        <v>46021</v>
      </c>
      <c r="L57" s="7" t="s">
        <v>236</v>
      </c>
      <c r="M57" s="44">
        <v>31105</v>
      </c>
      <c r="N57" s="83" t="s">
        <v>296</v>
      </c>
      <c r="P57"/>
    </row>
    <row r="58" spans="1:17" x14ac:dyDescent="0.25">
      <c r="A58" s="7" t="s">
        <v>231</v>
      </c>
      <c r="B58" s="7" t="s">
        <v>232</v>
      </c>
      <c r="C58" s="7">
        <v>1</v>
      </c>
      <c r="D58" s="7" t="s">
        <v>395</v>
      </c>
      <c r="E58" s="38">
        <f ca="1">((YEAR(TODAY())-YEAR(K58))*12+MONTH(TODAY())-MONTH(K58))/12</f>
        <v>7.75</v>
      </c>
      <c r="F58" s="39" t="s">
        <v>396</v>
      </c>
      <c r="G58" s="7" t="s">
        <v>567</v>
      </c>
      <c r="H58" s="7" t="s">
        <v>395</v>
      </c>
      <c r="I58" s="40"/>
      <c r="J58" s="7" t="s">
        <v>397</v>
      </c>
      <c r="K58" s="41">
        <v>43349</v>
      </c>
      <c r="L58" s="7" t="s">
        <v>398</v>
      </c>
      <c r="M58" s="41">
        <v>31517</v>
      </c>
      <c r="N58" s="83"/>
      <c r="P58" t="e">
        <f>VLOOKUP(#REF!,'[1]0524'!$B$3:$B$125,1,0)</f>
        <v>#REF!</v>
      </c>
    </row>
    <row r="59" spans="1:17" x14ac:dyDescent="0.25">
      <c r="A59" s="7" t="s">
        <v>231</v>
      </c>
      <c r="B59" s="7" t="s">
        <v>232</v>
      </c>
      <c r="C59" s="7">
        <v>2</v>
      </c>
      <c r="D59" s="7" t="s">
        <v>399</v>
      </c>
      <c r="E59" s="38">
        <f t="shared" ref="E59:E63" ca="1" si="8">((YEAR(TODAY())-YEAR(K59))*12+MONTH(TODAY())-MONTH(K59))/12</f>
        <v>5.583333333333333</v>
      </c>
      <c r="F59" s="39">
        <v>3780397925</v>
      </c>
      <c r="G59" s="7" t="s">
        <v>565</v>
      </c>
      <c r="H59" s="7" t="s">
        <v>399</v>
      </c>
      <c r="I59" s="40"/>
      <c r="J59" s="7" t="s">
        <v>397</v>
      </c>
      <c r="K59" s="41">
        <v>44137</v>
      </c>
      <c r="L59" s="7" t="s">
        <v>236</v>
      </c>
      <c r="M59" s="41">
        <v>31589</v>
      </c>
      <c r="N59" s="83"/>
      <c r="P59" t="e">
        <f>VLOOKUP(#REF!,'[1]0524'!$B$3:$B$125,1,0)</f>
        <v>#REF!</v>
      </c>
    </row>
    <row r="60" spans="1:17" x14ac:dyDescent="0.25">
      <c r="A60" s="7" t="s">
        <v>231</v>
      </c>
      <c r="B60" s="7" t="s">
        <v>232</v>
      </c>
      <c r="C60" s="7">
        <v>3</v>
      </c>
      <c r="D60" s="7" t="s">
        <v>400</v>
      </c>
      <c r="E60" s="38">
        <f t="shared" ca="1" si="8"/>
        <v>4.5</v>
      </c>
      <c r="F60" s="39">
        <v>1092167482</v>
      </c>
      <c r="G60" s="7" t="s">
        <v>593</v>
      </c>
      <c r="H60" s="7" t="s">
        <v>400</v>
      </c>
      <c r="I60" s="40">
        <v>46113</v>
      </c>
      <c r="J60" s="7" t="s">
        <v>401</v>
      </c>
      <c r="K60" s="41">
        <v>44538</v>
      </c>
      <c r="L60" s="7" t="s">
        <v>236</v>
      </c>
      <c r="M60" s="41">
        <v>31664</v>
      </c>
      <c r="N60" s="83"/>
      <c r="P60" t="e">
        <f>VLOOKUP(#REF!,'[1]0524'!$B$3:$B$125,1,0)</f>
        <v>#REF!</v>
      </c>
    </row>
    <row r="61" spans="1:17" x14ac:dyDescent="0.25">
      <c r="A61" s="7" t="s">
        <v>231</v>
      </c>
      <c r="B61" s="7" t="s">
        <v>232</v>
      </c>
      <c r="C61" s="7">
        <v>4</v>
      </c>
      <c r="D61" s="7" t="s">
        <v>402</v>
      </c>
      <c r="E61" s="38">
        <f t="shared" ca="1" si="8"/>
        <v>3</v>
      </c>
      <c r="F61" s="52" t="s">
        <v>403</v>
      </c>
      <c r="G61" s="7" t="s">
        <v>582</v>
      </c>
      <c r="H61" s="7" t="s">
        <v>402</v>
      </c>
      <c r="I61" s="40"/>
      <c r="J61" s="7" t="s">
        <v>404</v>
      </c>
      <c r="K61" s="53">
        <v>45104</v>
      </c>
      <c r="L61" s="7" t="s">
        <v>236</v>
      </c>
      <c r="M61" s="41">
        <v>30888</v>
      </c>
      <c r="N61" s="83"/>
      <c r="P61" t="e">
        <f>VLOOKUP(#REF!,'[1]0524'!$B$3:$B$125,1,0)</f>
        <v>#REF!</v>
      </c>
    </row>
    <row r="62" spans="1:17" x14ac:dyDescent="0.25">
      <c r="A62" s="7" t="s">
        <v>231</v>
      </c>
      <c r="B62" s="7" t="s">
        <v>232</v>
      </c>
      <c r="C62" s="7">
        <v>5</v>
      </c>
      <c r="D62" s="7" t="s">
        <v>405</v>
      </c>
      <c r="E62" s="38">
        <f t="shared" ca="1" si="8"/>
        <v>1.5</v>
      </c>
      <c r="F62" s="43" t="s">
        <v>406</v>
      </c>
      <c r="G62" s="6" t="s">
        <v>545</v>
      </c>
      <c r="H62" s="7" t="s">
        <v>405</v>
      </c>
      <c r="I62" s="40"/>
      <c r="J62" s="7" t="s">
        <v>407</v>
      </c>
      <c r="K62" s="53">
        <v>45649</v>
      </c>
      <c r="L62" s="7" t="s">
        <v>398</v>
      </c>
      <c r="M62" s="41">
        <v>33135</v>
      </c>
      <c r="N62" s="7"/>
      <c r="P62"/>
    </row>
    <row r="63" spans="1:17" x14ac:dyDescent="0.25">
      <c r="A63" s="7" t="s">
        <v>231</v>
      </c>
      <c r="B63" s="7" t="s">
        <v>232</v>
      </c>
      <c r="C63" s="7">
        <v>6</v>
      </c>
      <c r="D63" s="7" t="s">
        <v>408</v>
      </c>
      <c r="E63" s="38">
        <f t="shared" ca="1" si="8"/>
        <v>0.83333333333333337</v>
      </c>
      <c r="F63" s="43" t="s">
        <v>409</v>
      </c>
      <c r="G63" s="6" t="s">
        <v>566</v>
      </c>
      <c r="H63" s="7" t="s">
        <v>408</v>
      </c>
      <c r="I63" s="40">
        <v>46150</v>
      </c>
      <c r="J63" s="7" t="s">
        <v>397</v>
      </c>
      <c r="K63" s="53">
        <v>45894</v>
      </c>
      <c r="L63" s="7" t="s">
        <v>236</v>
      </c>
      <c r="M63" s="44">
        <v>32300</v>
      </c>
      <c r="N63" s="83"/>
      <c r="P63"/>
    </row>
    <row r="64" spans="1:17" x14ac:dyDescent="0.25">
      <c r="A64" s="7" t="s">
        <v>231</v>
      </c>
      <c r="B64" s="7" t="s">
        <v>232</v>
      </c>
      <c r="C64" s="7">
        <v>1</v>
      </c>
      <c r="D64" s="7" t="s">
        <v>413</v>
      </c>
      <c r="E64" s="38">
        <f t="shared" ref="E64:E71" ca="1" si="9">((YEAR(TODAY())-YEAR(K64))*12+MONTH(TODAY())-MONTH(K64))/12</f>
        <v>4.166666666666667</v>
      </c>
      <c r="F64" s="39">
        <v>8180379941</v>
      </c>
      <c r="G64" s="7" t="s">
        <v>606</v>
      </c>
      <c r="H64" s="7" t="s">
        <v>413</v>
      </c>
      <c r="I64" s="40"/>
      <c r="J64" s="7" t="s">
        <v>415</v>
      </c>
      <c r="K64" s="41">
        <v>44669</v>
      </c>
      <c r="L64" s="7" t="s">
        <v>236</v>
      </c>
      <c r="M64" s="41">
        <v>28678</v>
      </c>
      <c r="N64" s="83"/>
      <c r="P64" s="10"/>
      <c r="Q64" s="58"/>
    </row>
    <row r="65" spans="1:16" x14ac:dyDescent="0.25">
      <c r="A65" s="7" t="s">
        <v>231</v>
      </c>
      <c r="B65" s="7" t="s">
        <v>232</v>
      </c>
      <c r="C65" s="7">
        <v>2</v>
      </c>
      <c r="D65" s="7" t="s">
        <v>416</v>
      </c>
      <c r="E65" s="38">
        <f t="shared" ca="1" si="9"/>
        <v>4.5</v>
      </c>
      <c r="F65" s="39">
        <v>8180224085</v>
      </c>
      <c r="G65" s="7" t="s">
        <v>26</v>
      </c>
      <c r="H65" s="7" t="s">
        <v>416</v>
      </c>
      <c r="I65" s="40"/>
      <c r="J65" s="7" t="s">
        <v>418</v>
      </c>
      <c r="K65" s="41">
        <v>44536</v>
      </c>
      <c r="L65" s="7" t="s">
        <v>236</v>
      </c>
      <c r="M65" s="41">
        <v>35737</v>
      </c>
      <c r="N65" s="83"/>
      <c r="P65" t="e">
        <f>VLOOKUP(#REF!,'[1]0524'!$B$3:$B$125,1,0)</f>
        <v>#REF!</v>
      </c>
    </row>
    <row r="66" spans="1:16" x14ac:dyDescent="0.25">
      <c r="A66" s="7" t="s">
        <v>231</v>
      </c>
      <c r="B66" s="7" t="s">
        <v>232</v>
      </c>
      <c r="C66" s="7">
        <v>3</v>
      </c>
      <c r="D66" s="7" t="s">
        <v>419</v>
      </c>
      <c r="E66" s="38">
        <f t="shared" ca="1" si="9"/>
        <v>4.25</v>
      </c>
      <c r="F66" s="39">
        <v>8180374729</v>
      </c>
      <c r="G66" s="7" t="s">
        <v>607</v>
      </c>
      <c r="H66" s="7" t="s">
        <v>419</v>
      </c>
      <c r="I66" s="40"/>
      <c r="J66" s="7" t="s">
        <v>421</v>
      </c>
      <c r="K66" s="41">
        <v>44645</v>
      </c>
      <c r="L66" s="7" t="s">
        <v>236</v>
      </c>
      <c r="M66" s="41">
        <v>33527</v>
      </c>
      <c r="N66" s="83"/>
      <c r="P66" t="e">
        <f>VLOOKUP(#REF!,'[1]0524'!$B$3:$B$125,1,0)</f>
        <v>#REF!</v>
      </c>
    </row>
    <row r="67" spans="1:16" x14ac:dyDescent="0.25">
      <c r="A67" s="7" t="s">
        <v>231</v>
      </c>
      <c r="B67" s="7" t="s">
        <v>232</v>
      </c>
      <c r="C67" s="7">
        <v>4</v>
      </c>
      <c r="D67" s="7" t="s">
        <v>422</v>
      </c>
      <c r="E67" s="38">
        <f t="shared" ca="1" si="9"/>
        <v>3.4166666666666665</v>
      </c>
      <c r="F67" s="52" t="s">
        <v>423</v>
      </c>
      <c r="G67" s="7" t="s">
        <v>24</v>
      </c>
      <c r="H67" s="7" t="s">
        <v>422</v>
      </c>
      <c r="I67" s="40"/>
      <c r="J67" s="7" t="s">
        <v>418</v>
      </c>
      <c r="K67" s="41">
        <v>44951</v>
      </c>
      <c r="L67" s="7" t="s">
        <v>236</v>
      </c>
      <c r="M67" s="41">
        <v>34993</v>
      </c>
      <c r="N67" s="83"/>
      <c r="P67" t="e">
        <f>VLOOKUP(#REF!,'[1]0524'!$B$3:$B$125,1,0)</f>
        <v>#REF!</v>
      </c>
    </row>
    <row r="68" spans="1:16" x14ac:dyDescent="0.25">
      <c r="A68" s="7" t="s">
        <v>231</v>
      </c>
      <c r="B68" s="7" t="s">
        <v>232</v>
      </c>
      <c r="C68" s="7">
        <v>5</v>
      </c>
      <c r="D68" s="59" t="s">
        <v>425</v>
      </c>
      <c r="E68" s="38">
        <f t="shared" ca="1" si="9"/>
        <v>1.9166666666666667</v>
      </c>
      <c r="F68" s="52">
        <v>8180505475</v>
      </c>
      <c r="G68" s="6" t="s">
        <v>30</v>
      </c>
      <c r="H68" s="59" t="s">
        <v>425</v>
      </c>
      <c r="I68" s="40"/>
      <c r="J68" s="7" t="s">
        <v>418</v>
      </c>
      <c r="K68" s="53">
        <v>45502</v>
      </c>
      <c r="L68" s="7" t="s">
        <v>236</v>
      </c>
      <c r="M68" s="41">
        <v>36048</v>
      </c>
      <c r="N68" s="83"/>
      <c r="P68"/>
    </row>
    <row r="69" spans="1:16" x14ac:dyDescent="0.25">
      <c r="A69" s="7" t="s">
        <v>231</v>
      </c>
      <c r="B69" s="7" t="s">
        <v>232</v>
      </c>
      <c r="C69" s="7">
        <v>6</v>
      </c>
      <c r="D69" s="59" t="s">
        <v>427</v>
      </c>
      <c r="E69" s="38">
        <f t="shared" ca="1" si="9"/>
        <v>1.5</v>
      </c>
      <c r="F69" s="52" t="s">
        <v>428</v>
      </c>
      <c r="G69" s="6" t="s">
        <v>33</v>
      </c>
      <c r="H69" s="59" t="s">
        <v>427</v>
      </c>
      <c r="I69" s="40"/>
      <c r="J69" s="7" t="s">
        <v>418</v>
      </c>
      <c r="K69" s="53">
        <v>45643</v>
      </c>
      <c r="L69" s="7" t="s">
        <v>236</v>
      </c>
      <c r="M69" s="41">
        <v>35318</v>
      </c>
      <c r="N69" s="83"/>
      <c r="P69"/>
    </row>
    <row r="70" spans="1:16" x14ac:dyDescent="0.25">
      <c r="A70" s="7" t="s">
        <v>231</v>
      </c>
      <c r="B70" s="7" t="s">
        <v>232</v>
      </c>
      <c r="C70" s="7">
        <v>7</v>
      </c>
      <c r="D70" s="59" t="s">
        <v>430</v>
      </c>
      <c r="E70" s="38">
        <f t="shared" ca="1" si="9"/>
        <v>1.3333333333333333</v>
      </c>
      <c r="F70" s="52" t="s">
        <v>431</v>
      </c>
      <c r="G70" s="6" t="s">
        <v>546</v>
      </c>
      <c r="H70" s="59" t="s">
        <v>430</v>
      </c>
      <c r="I70" s="40"/>
      <c r="J70" s="7" t="s">
        <v>418</v>
      </c>
      <c r="K70" s="53">
        <v>45708</v>
      </c>
      <c r="L70" s="7" t="s">
        <v>236</v>
      </c>
      <c r="M70" s="41">
        <v>33310</v>
      </c>
      <c r="N70" s="83"/>
      <c r="P70"/>
    </row>
    <row r="71" spans="1:16" x14ac:dyDescent="0.25">
      <c r="A71" s="7" t="s">
        <v>231</v>
      </c>
      <c r="B71" s="7" t="s">
        <v>232</v>
      </c>
      <c r="C71" s="7">
        <v>1</v>
      </c>
      <c r="D71" s="7" t="s">
        <v>437</v>
      </c>
      <c r="E71" s="38">
        <f t="shared" ca="1" si="9"/>
        <v>5.916666666666667</v>
      </c>
      <c r="F71" s="39">
        <v>4380053131</v>
      </c>
      <c r="G71" s="7" t="s">
        <v>608</v>
      </c>
      <c r="H71" s="7" t="s">
        <v>437</v>
      </c>
      <c r="I71" s="40"/>
      <c r="J71" s="7" t="s">
        <v>439</v>
      </c>
      <c r="K71" s="41">
        <v>44034</v>
      </c>
      <c r="L71" s="7" t="s">
        <v>236</v>
      </c>
      <c r="M71" s="41">
        <v>32802</v>
      </c>
      <c r="N71" s="83"/>
      <c r="P71" t="e">
        <f>VLOOKUP(#REF!,'[1]0524'!$B$3:$B$125,1,0)</f>
        <v>#REF!</v>
      </c>
    </row>
    <row r="72" spans="1:16" x14ac:dyDescent="0.25">
      <c r="A72" s="7" t="s">
        <v>231</v>
      </c>
      <c r="B72" s="7" t="s">
        <v>232</v>
      </c>
      <c r="C72" s="7">
        <v>2</v>
      </c>
      <c r="D72" s="7" t="s">
        <v>440</v>
      </c>
      <c r="E72" s="38">
        <f t="shared" ref="E72:E74" ca="1" si="10">((YEAR(TODAY())-YEAR(K72))*12+MONTH(TODAY())-MONTH(K72))/12</f>
        <v>1</v>
      </c>
      <c r="F72" s="39" t="s">
        <v>441</v>
      </c>
      <c r="G72" s="7" t="s">
        <v>127</v>
      </c>
      <c r="H72" s="7" t="s">
        <v>440</v>
      </c>
      <c r="I72" s="40"/>
      <c r="J72" s="7" t="s">
        <v>442</v>
      </c>
      <c r="K72" s="41">
        <v>45824</v>
      </c>
      <c r="L72" s="7" t="s">
        <v>236</v>
      </c>
      <c r="M72" s="41">
        <v>34617</v>
      </c>
      <c r="N72" s="83"/>
      <c r="P72"/>
    </row>
    <row r="73" spans="1:16" x14ac:dyDescent="0.25">
      <c r="A73" s="7" t="s">
        <v>231</v>
      </c>
      <c r="B73" s="7" t="s">
        <v>232</v>
      </c>
      <c r="C73" s="7">
        <v>3</v>
      </c>
      <c r="D73" s="7" t="s">
        <v>443</v>
      </c>
      <c r="E73" s="38">
        <f t="shared" ca="1" si="10"/>
        <v>0.91666666666666663</v>
      </c>
      <c r="F73" s="39" t="s">
        <v>444</v>
      </c>
      <c r="G73" s="7" t="s">
        <v>124</v>
      </c>
      <c r="H73" s="7" t="s">
        <v>443</v>
      </c>
      <c r="I73" s="40"/>
      <c r="J73" s="7" t="s">
        <v>442</v>
      </c>
      <c r="K73" s="41">
        <v>45841</v>
      </c>
      <c r="L73" s="7" t="s">
        <v>236</v>
      </c>
      <c r="M73" s="41">
        <v>27769</v>
      </c>
      <c r="N73" s="83"/>
      <c r="P73"/>
    </row>
    <row r="74" spans="1:16" x14ac:dyDescent="0.25">
      <c r="A74" s="7" t="s">
        <v>231</v>
      </c>
      <c r="B74" s="7" t="s">
        <v>232</v>
      </c>
      <c r="C74" s="7">
        <v>4</v>
      </c>
      <c r="D74" s="7" t="s">
        <v>445</v>
      </c>
      <c r="E74" s="38">
        <f t="shared" ca="1" si="10"/>
        <v>0.83333333333333337</v>
      </c>
      <c r="F74" s="43" t="s">
        <v>446</v>
      </c>
      <c r="G74" s="7" t="s">
        <v>130</v>
      </c>
      <c r="H74" s="7" t="s">
        <v>445</v>
      </c>
      <c r="I74" s="40"/>
      <c r="J74" s="7" t="s">
        <v>442</v>
      </c>
      <c r="K74" s="41">
        <v>45873</v>
      </c>
      <c r="L74" s="7" t="s">
        <v>236</v>
      </c>
      <c r="M74" s="44">
        <v>31112</v>
      </c>
      <c r="N74" s="83"/>
      <c r="P74"/>
    </row>
    <row r="75" spans="1:16" x14ac:dyDescent="0.25">
      <c r="A75" s="7" t="s">
        <v>231</v>
      </c>
      <c r="B75" s="7" t="s">
        <v>232</v>
      </c>
      <c r="C75" s="7">
        <v>1</v>
      </c>
      <c r="D75" s="7" t="s">
        <v>449</v>
      </c>
      <c r="E75" s="38">
        <f ca="1">((YEAR(TODAY())-YEAR(K75))*12+MONTH(TODAY())-MONTH(K75))/12</f>
        <v>3.75</v>
      </c>
      <c r="F75" s="39">
        <v>3740904263</v>
      </c>
      <c r="G75" s="7" t="s">
        <v>609</v>
      </c>
      <c r="H75" s="7" t="s">
        <v>449</v>
      </c>
      <c r="I75" s="40"/>
      <c r="J75" s="7" t="s">
        <v>451</v>
      </c>
      <c r="K75" s="41">
        <v>44816</v>
      </c>
      <c r="L75" s="7" t="s">
        <v>236</v>
      </c>
      <c r="M75" s="41">
        <v>35010</v>
      </c>
      <c r="N75" s="83"/>
      <c r="P75" t="e">
        <f>VLOOKUP(#REF!,'[1]0524'!$B$3:$B$125,1,0)</f>
        <v>#REF!</v>
      </c>
    </row>
    <row r="76" spans="1:16" x14ac:dyDescent="0.25">
      <c r="A76" s="7" t="s">
        <v>231</v>
      </c>
      <c r="B76" s="7" t="s">
        <v>232</v>
      </c>
      <c r="C76" s="7">
        <v>2</v>
      </c>
      <c r="D76" s="7" t="s">
        <v>452</v>
      </c>
      <c r="E76" s="38">
        <f t="shared" ref="E76:E81" ca="1" si="11">((YEAR(TODAY())-YEAR(K76))*12+MONTH(TODAY())-MONTH(K76))/12</f>
        <v>2.0833333333333335</v>
      </c>
      <c r="F76" s="43" t="s">
        <v>453</v>
      </c>
      <c r="G76" s="6" t="s">
        <v>187</v>
      </c>
      <c r="H76" s="7" t="s">
        <v>452</v>
      </c>
      <c r="I76" s="40"/>
      <c r="J76" s="7" t="s">
        <v>454</v>
      </c>
      <c r="K76" s="53">
        <v>45418</v>
      </c>
      <c r="L76" s="7" t="s">
        <v>236</v>
      </c>
      <c r="M76" s="41">
        <v>31779</v>
      </c>
      <c r="N76" s="83"/>
      <c r="P76" t="e">
        <f>VLOOKUP(#REF!,'[1]0524'!$B$3:$B$125,1,0)</f>
        <v>#REF!</v>
      </c>
    </row>
    <row r="77" spans="1:16" x14ac:dyDescent="0.25">
      <c r="A77" s="7" t="s">
        <v>231</v>
      </c>
      <c r="B77" s="7" t="s">
        <v>232</v>
      </c>
      <c r="C77" s="7">
        <v>3</v>
      </c>
      <c r="D77" s="73" t="s">
        <v>455</v>
      </c>
      <c r="E77" s="38">
        <f t="shared" ca="1" si="11"/>
        <v>1.9166666666666667</v>
      </c>
      <c r="F77" s="43">
        <v>1341470272</v>
      </c>
      <c r="G77" s="6" t="s">
        <v>178</v>
      </c>
      <c r="H77" s="73" t="s">
        <v>455</v>
      </c>
      <c r="I77" s="40"/>
      <c r="J77" s="6" t="s">
        <v>454</v>
      </c>
      <c r="K77" s="53">
        <v>45502</v>
      </c>
      <c r="L77" s="7" t="s">
        <v>236</v>
      </c>
      <c r="M77" s="41">
        <v>34415</v>
      </c>
      <c r="N77" s="83"/>
      <c r="P77"/>
    </row>
    <row r="78" spans="1:16" x14ac:dyDescent="0.25">
      <c r="A78" s="7" t="s">
        <v>231</v>
      </c>
      <c r="B78" s="7" t="s">
        <v>232</v>
      </c>
      <c r="C78" s="7">
        <v>4</v>
      </c>
      <c r="D78" s="59" t="s">
        <v>456</v>
      </c>
      <c r="E78" s="38">
        <f t="shared" ca="1" si="11"/>
        <v>1.8333333333333333</v>
      </c>
      <c r="F78" s="52">
        <v>1342870354</v>
      </c>
      <c r="G78" s="6" t="s">
        <v>172</v>
      </c>
      <c r="H78" s="59" t="s">
        <v>456</v>
      </c>
      <c r="I78" s="40"/>
      <c r="J78" s="6" t="s">
        <v>454</v>
      </c>
      <c r="K78" s="41">
        <v>45509</v>
      </c>
      <c r="L78" s="7" t="s">
        <v>236</v>
      </c>
      <c r="M78" s="41">
        <v>30540</v>
      </c>
      <c r="N78" s="83"/>
      <c r="P78"/>
    </row>
    <row r="79" spans="1:16" x14ac:dyDescent="0.25">
      <c r="A79" s="7" t="s">
        <v>231</v>
      </c>
      <c r="B79" s="7" t="s">
        <v>232</v>
      </c>
      <c r="C79" s="7">
        <v>5</v>
      </c>
      <c r="D79" s="7" t="s">
        <v>457</v>
      </c>
      <c r="E79" s="38">
        <f t="shared" ca="1" si="11"/>
        <v>3</v>
      </c>
      <c r="F79" s="52" t="s">
        <v>458</v>
      </c>
      <c r="G79" s="7" t="s">
        <v>175</v>
      </c>
      <c r="H79" s="7" t="s">
        <v>457</v>
      </c>
      <c r="I79" s="40"/>
      <c r="J79" s="6" t="s">
        <v>454</v>
      </c>
      <c r="K79" s="53">
        <v>45079</v>
      </c>
      <c r="L79" s="7" t="s">
        <v>236</v>
      </c>
      <c r="M79" s="41">
        <v>34634</v>
      </c>
      <c r="N79" s="83"/>
      <c r="P79" t="str">
        <f>VLOOKUP(D75,'[1]0524'!$B$3:$B$125,1,0)</f>
        <v>PMC2209001</v>
      </c>
    </row>
    <row r="80" spans="1:16" x14ac:dyDescent="0.25">
      <c r="A80" s="7" t="s">
        <v>231</v>
      </c>
      <c r="B80" s="7" t="s">
        <v>232</v>
      </c>
      <c r="C80" s="7">
        <v>6</v>
      </c>
      <c r="D80" s="7" t="s">
        <v>459</v>
      </c>
      <c r="E80" s="38">
        <f t="shared" ca="1" si="11"/>
        <v>2.0833333333333335</v>
      </c>
      <c r="F80" s="52" t="s">
        <v>460</v>
      </c>
      <c r="G80" s="7" t="s">
        <v>181</v>
      </c>
      <c r="H80" s="7" t="s">
        <v>459</v>
      </c>
      <c r="I80" s="40"/>
      <c r="J80" s="6" t="s">
        <v>454</v>
      </c>
      <c r="K80" s="53">
        <v>45419</v>
      </c>
      <c r="L80" s="7" t="s">
        <v>236</v>
      </c>
      <c r="M80" s="41">
        <v>30963</v>
      </c>
      <c r="N80" s="83"/>
      <c r="P80" t="e">
        <f>VLOOKUP(#REF!,'[1]0524'!$B$3:$B$125,1,0)</f>
        <v>#REF!</v>
      </c>
    </row>
    <row r="81" spans="1:17" x14ac:dyDescent="0.25">
      <c r="A81" s="7" t="s">
        <v>231</v>
      </c>
      <c r="B81" s="7" t="s">
        <v>232</v>
      </c>
      <c r="C81" s="7">
        <v>7</v>
      </c>
      <c r="D81" s="7" t="s">
        <v>461</v>
      </c>
      <c r="E81" s="38">
        <f t="shared" ca="1" si="11"/>
        <v>4.166666666666667</v>
      </c>
      <c r="F81" s="39">
        <v>8180355414</v>
      </c>
      <c r="G81" s="7" t="s">
        <v>184</v>
      </c>
      <c r="H81" s="7" t="s">
        <v>461</v>
      </c>
      <c r="I81" s="40"/>
      <c r="J81" s="6" t="s">
        <v>454</v>
      </c>
      <c r="K81" s="41">
        <v>44655</v>
      </c>
      <c r="L81" s="7" t="s">
        <v>236</v>
      </c>
      <c r="M81" s="41">
        <v>35632</v>
      </c>
      <c r="N81" s="83"/>
      <c r="P81" t="e">
        <f>VLOOKUP(D77,'[1]0524'!$B$3:$B$125,1,0)</f>
        <v>#N/A</v>
      </c>
    </row>
    <row r="82" spans="1:17" x14ac:dyDescent="0.25">
      <c r="A82" s="7" t="s">
        <v>231</v>
      </c>
      <c r="B82" s="7" t="s">
        <v>232</v>
      </c>
      <c r="C82" s="7">
        <v>1</v>
      </c>
      <c r="D82" s="7" t="s">
        <v>465</v>
      </c>
      <c r="E82" s="38">
        <f t="shared" ref="E82:E86" ca="1" si="12">((YEAR(TODAY())-YEAR(K82))*12+MONTH(TODAY())-MONTH(K82))/12</f>
        <v>3.75</v>
      </c>
      <c r="F82" s="39" t="s">
        <v>466</v>
      </c>
      <c r="G82" s="7" t="s">
        <v>610</v>
      </c>
      <c r="H82" s="7" t="s">
        <v>465</v>
      </c>
      <c r="I82" s="40"/>
      <c r="J82" s="7" t="s">
        <v>468</v>
      </c>
      <c r="K82" s="41">
        <v>44816</v>
      </c>
      <c r="L82" s="7" t="s">
        <v>236</v>
      </c>
      <c r="M82" s="41">
        <v>30884</v>
      </c>
      <c r="N82" s="83"/>
      <c r="P82" t="e">
        <f>VLOOKUP(#REF!,'[1]0524'!$B$3:$B$125,1,0)</f>
        <v>#REF!</v>
      </c>
    </row>
    <row r="83" spans="1:17" x14ac:dyDescent="0.25">
      <c r="A83" s="7" t="s">
        <v>231</v>
      </c>
      <c r="B83" s="7" t="s">
        <v>232</v>
      </c>
      <c r="C83" s="7">
        <v>2</v>
      </c>
      <c r="D83" s="7" t="s">
        <v>469</v>
      </c>
      <c r="E83" s="38">
        <f t="shared" ca="1" si="12"/>
        <v>3.6666666666666665</v>
      </c>
      <c r="F83" s="39">
        <v>2030529947</v>
      </c>
      <c r="G83" s="7" t="s">
        <v>583</v>
      </c>
      <c r="H83" s="7" t="s">
        <v>469</v>
      </c>
      <c r="I83" s="40"/>
      <c r="J83" s="7" t="s">
        <v>470</v>
      </c>
      <c r="K83" s="41">
        <v>44835</v>
      </c>
      <c r="L83" s="7" t="s">
        <v>236</v>
      </c>
      <c r="M83" s="41">
        <v>34715</v>
      </c>
      <c r="N83" s="83"/>
      <c r="P83" t="e">
        <f>VLOOKUP(#REF!,'[1]0524'!$B$3:$B$125,1,0)</f>
        <v>#REF!</v>
      </c>
    </row>
    <row r="84" spans="1:17" s="42" customFormat="1" x14ac:dyDescent="0.25">
      <c r="A84" s="7" t="s">
        <v>231</v>
      </c>
      <c r="B84" s="7" t="s">
        <v>232</v>
      </c>
      <c r="C84" s="7">
        <v>3</v>
      </c>
      <c r="D84" s="62" t="s">
        <v>471</v>
      </c>
      <c r="E84" s="38">
        <f t="shared" ca="1" si="12"/>
        <v>1.0833333333333333</v>
      </c>
      <c r="F84" s="63" t="s">
        <v>472</v>
      </c>
      <c r="G84" s="62" t="s">
        <v>611</v>
      </c>
      <c r="H84" s="62" t="s">
        <v>471</v>
      </c>
      <c r="I84" s="40">
        <v>46083</v>
      </c>
      <c r="J84" s="7" t="s">
        <v>470</v>
      </c>
      <c r="K84" s="64">
        <v>45803</v>
      </c>
      <c r="L84" s="62" t="s">
        <v>236</v>
      </c>
      <c r="M84" s="45">
        <v>34084</v>
      </c>
      <c r="N84" s="84" t="s">
        <v>296</v>
      </c>
      <c r="O84"/>
      <c r="P84"/>
      <c r="Q84"/>
    </row>
    <row r="85" spans="1:17" s="42" customFormat="1" x14ac:dyDescent="0.25">
      <c r="A85" s="7" t="s">
        <v>231</v>
      </c>
      <c r="B85" s="7" t="s">
        <v>232</v>
      </c>
      <c r="C85" s="7">
        <v>4</v>
      </c>
      <c r="D85" s="61" t="s">
        <v>135</v>
      </c>
      <c r="E85" s="38">
        <f t="shared" ca="1" si="12"/>
        <v>0.33333333333333331</v>
      </c>
      <c r="F85" s="43" t="s">
        <v>136</v>
      </c>
      <c r="G85" s="62" t="s">
        <v>584</v>
      </c>
      <c r="H85" s="61" t="s">
        <v>135</v>
      </c>
      <c r="I85" s="40"/>
      <c r="J85" s="7" t="s">
        <v>470</v>
      </c>
      <c r="K85" s="44">
        <v>46064</v>
      </c>
      <c r="L85" s="62" t="s">
        <v>236</v>
      </c>
      <c r="M85" s="44">
        <v>36061</v>
      </c>
      <c r="N85" s="84"/>
      <c r="O85"/>
      <c r="P85"/>
      <c r="Q85"/>
    </row>
    <row r="86" spans="1:17" s="42" customFormat="1" x14ac:dyDescent="0.25">
      <c r="A86" s="7" t="s">
        <v>231</v>
      </c>
      <c r="B86" s="7" t="s">
        <v>232</v>
      </c>
      <c r="C86" s="7">
        <v>5</v>
      </c>
      <c r="D86" s="61" t="s">
        <v>140</v>
      </c>
      <c r="E86" s="38">
        <f t="shared" ca="1" si="12"/>
        <v>0.33333333333333331</v>
      </c>
      <c r="F86" s="43" t="s">
        <v>141</v>
      </c>
      <c r="G86" s="62" t="s">
        <v>139</v>
      </c>
      <c r="H86" s="61" t="s">
        <v>140</v>
      </c>
      <c r="I86" s="40"/>
      <c r="J86" s="7" t="s">
        <v>470</v>
      </c>
      <c r="K86" s="44">
        <v>46069</v>
      </c>
      <c r="L86" s="62" t="s">
        <v>236</v>
      </c>
      <c r="M86" s="44">
        <v>30938</v>
      </c>
      <c r="N86" s="84"/>
      <c r="O86"/>
      <c r="P86"/>
      <c r="Q86"/>
    </row>
    <row r="87" spans="1:17" x14ac:dyDescent="0.25">
      <c r="A87" s="7" t="s">
        <v>231</v>
      </c>
      <c r="B87" s="7" t="s">
        <v>232</v>
      </c>
      <c r="C87" s="7">
        <v>1</v>
      </c>
      <c r="D87" s="7" t="s">
        <v>477</v>
      </c>
      <c r="E87" s="38">
        <f ca="1">((YEAR(TODAY())-YEAR(K87))*12+MONTH(TODAY())-MONTH(K87))/12</f>
        <v>6.666666666666667</v>
      </c>
      <c r="F87" s="39" t="s">
        <v>478</v>
      </c>
      <c r="G87" s="7" t="s">
        <v>612</v>
      </c>
      <c r="H87" s="7" t="s">
        <v>477</v>
      </c>
      <c r="I87" s="40"/>
      <c r="J87" s="7" t="s">
        <v>480</v>
      </c>
      <c r="K87" s="41">
        <v>43740</v>
      </c>
      <c r="L87" s="7" t="s">
        <v>236</v>
      </c>
      <c r="M87" s="41">
        <v>30524</v>
      </c>
      <c r="N87" s="83"/>
      <c r="P87"/>
      <c r="Q87" s="58"/>
    </row>
    <row r="88" spans="1:17" x14ac:dyDescent="0.25">
      <c r="A88" s="7" t="s">
        <v>231</v>
      </c>
      <c r="B88" s="7" t="s">
        <v>232</v>
      </c>
      <c r="C88" s="7">
        <v>2</v>
      </c>
      <c r="D88" s="7" t="s">
        <v>481</v>
      </c>
      <c r="E88" s="38">
        <f t="shared" ref="E88:E91" ca="1" si="13">((YEAR(TODAY())-YEAR(K88))*12+MONTH(TODAY())-MONTH(K88))/12</f>
        <v>4</v>
      </c>
      <c r="F88" s="39">
        <v>3210914411</v>
      </c>
      <c r="G88" s="7" t="s">
        <v>548</v>
      </c>
      <c r="H88" s="7" t="s">
        <v>481</v>
      </c>
      <c r="I88" s="40"/>
      <c r="J88" s="7" t="s">
        <v>482</v>
      </c>
      <c r="K88" s="41">
        <v>44734</v>
      </c>
      <c r="L88" s="7" t="s">
        <v>236</v>
      </c>
      <c r="M88" s="41">
        <v>33922</v>
      </c>
      <c r="N88" s="83"/>
      <c r="P88" t="e">
        <f>VLOOKUP(#REF!,'[1]0524'!$B$3:$B$125,1,0)</f>
        <v>#REF!</v>
      </c>
    </row>
    <row r="89" spans="1:17" x14ac:dyDescent="0.25">
      <c r="A89" s="7" t="s">
        <v>231</v>
      </c>
      <c r="B89" s="7" t="s">
        <v>232</v>
      </c>
      <c r="C89" s="7">
        <v>3</v>
      </c>
      <c r="D89" s="7" t="s">
        <v>483</v>
      </c>
      <c r="E89" s="38">
        <f t="shared" ca="1" si="13"/>
        <v>2</v>
      </c>
      <c r="F89" s="52" t="s">
        <v>484</v>
      </c>
      <c r="G89" s="7" t="s">
        <v>547</v>
      </c>
      <c r="H89" s="7" t="s">
        <v>483</v>
      </c>
      <c r="I89" s="40"/>
      <c r="J89" s="7" t="s">
        <v>482</v>
      </c>
      <c r="K89" s="41">
        <v>45468</v>
      </c>
      <c r="L89" s="7" t="s">
        <v>236</v>
      </c>
      <c r="M89" s="41">
        <v>32215</v>
      </c>
      <c r="N89" s="83"/>
      <c r="P89"/>
    </row>
    <row r="90" spans="1:17" x14ac:dyDescent="0.25">
      <c r="A90" s="7" t="s">
        <v>231</v>
      </c>
      <c r="B90" s="7" t="s">
        <v>232</v>
      </c>
      <c r="C90" s="7">
        <v>4</v>
      </c>
      <c r="D90" s="59" t="s">
        <v>485</v>
      </c>
      <c r="E90" s="38">
        <f t="shared" ca="1" si="13"/>
        <v>1.75</v>
      </c>
      <c r="F90" s="52">
        <v>541384501</v>
      </c>
      <c r="G90" s="6" t="s">
        <v>549</v>
      </c>
      <c r="H90" s="59" t="s">
        <v>485</v>
      </c>
      <c r="I90" s="40"/>
      <c r="J90" s="7" t="s">
        <v>482</v>
      </c>
      <c r="K90" s="41">
        <v>45558</v>
      </c>
      <c r="L90" s="7" t="s">
        <v>236</v>
      </c>
      <c r="M90" s="41">
        <v>33716</v>
      </c>
      <c r="N90" s="83"/>
      <c r="P90"/>
    </row>
    <row r="91" spans="1:17" x14ac:dyDescent="0.25">
      <c r="A91" s="7" t="s">
        <v>231</v>
      </c>
      <c r="B91" s="7" t="s">
        <v>232</v>
      </c>
      <c r="C91" s="7">
        <v>5</v>
      </c>
      <c r="D91" s="59" t="s">
        <v>486</v>
      </c>
      <c r="E91" s="38">
        <f t="shared" ca="1" si="13"/>
        <v>1.4166666666666667</v>
      </c>
      <c r="F91" s="52" t="s">
        <v>487</v>
      </c>
      <c r="G91" s="6" t="s">
        <v>613</v>
      </c>
      <c r="H91" s="59" t="s">
        <v>486</v>
      </c>
      <c r="I91" s="40"/>
      <c r="J91" s="7" t="s">
        <v>482</v>
      </c>
      <c r="K91" s="41">
        <v>45679</v>
      </c>
      <c r="L91" s="7" t="s">
        <v>236</v>
      </c>
      <c r="M91" s="41">
        <v>34061</v>
      </c>
      <c r="N91" s="83"/>
      <c r="P91"/>
    </row>
    <row r="92" spans="1:17" x14ac:dyDescent="0.25">
      <c r="A92" s="7" t="s">
        <v>231</v>
      </c>
      <c r="B92" s="7" t="s">
        <v>232</v>
      </c>
      <c r="C92" s="7">
        <v>6</v>
      </c>
      <c r="D92" s="59" t="s">
        <v>489</v>
      </c>
      <c r="E92" s="38">
        <f ca="1">((YEAR(TODAY())-YEAR(K92))*12+MONTH(TODAY())-MONTH(K92))/12</f>
        <v>1</v>
      </c>
      <c r="F92" s="52" t="s">
        <v>490</v>
      </c>
      <c r="G92" s="6" t="s">
        <v>550</v>
      </c>
      <c r="H92" s="59" t="s">
        <v>489</v>
      </c>
      <c r="I92" s="40"/>
      <c r="J92" s="7" t="s">
        <v>482</v>
      </c>
      <c r="K92" s="78">
        <v>45820</v>
      </c>
      <c r="L92" s="7" t="s">
        <v>236</v>
      </c>
      <c r="M92" s="41">
        <v>32711</v>
      </c>
      <c r="N92" s="83"/>
      <c r="P92"/>
    </row>
    <row r="93" spans="1:17" x14ac:dyDescent="0.25">
      <c r="A93" s="7" t="s">
        <v>231</v>
      </c>
      <c r="B93" s="7" t="s">
        <v>232</v>
      </c>
      <c r="C93" s="7">
        <v>1</v>
      </c>
      <c r="D93" s="7" t="s">
        <v>493</v>
      </c>
      <c r="E93" s="38">
        <f t="shared" ref="E93:E97" ca="1" si="14">((YEAR(TODAY())-YEAR(K93))*12+MONTH(TODAY())-MONTH(K93))/12</f>
        <v>6.916666666666667</v>
      </c>
      <c r="F93" s="39" t="s">
        <v>494</v>
      </c>
      <c r="G93" s="7" t="s">
        <v>614</v>
      </c>
      <c r="H93" s="7" t="s">
        <v>493</v>
      </c>
      <c r="I93" s="40"/>
      <c r="J93" s="7" t="s">
        <v>496</v>
      </c>
      <c r="K93" s="41">
        <v>43675</v>
      </c>
      <c r="L93" s="7" t="s">
        <v>236</v>
      </c>
      <c r="M93" s="41">
        <v>29170</v>
      </c>
      <c r="N93" s="83"/>
      <c r="P93" t="e">
        <f>VLOOKUP(D92,'[1]0524'!$B$3:$B$125,1,0)</f>
        <v>#N/A</v>
      </c>
    </row>
    <row r="94" spans="1:17" x14ac:dyDescent="0.25">
      <c r="A94" s="7" t="s">
        <v>231</v>
      </c>
      <c r="B94" s="7" t="s">
        <v>232</v>
      </c>
      <c r="C94" s="7">
        <v>2</v>
      </c>
      <c r="D94" s="7" t="s">
        <v>497</v>
      </c>
      <c r="E94" s="38">
        <f t="shared" ca="1" si="14"/>
        <v>1</v>
      </c>
      <c r="F94" s="39" t="s">
        <v>498</v>
      </c>
      <c r="G94" s="7" t="s">
        <v>594</v>
      </c>
      <c r="H94" s="7" t="s">
        <v>497</v>
      </c>
      <c r="I94" s="40"/>
      <c r="J94" s="62" t="s">
        <v>499</v>
      </c>
      <c r="K94" s="41">
        <v>45824</v>
      </c>
      <c r="L94" s="7" t="s">
        <v>236</v>
      </c>
      <c r="M94" s="41">
        <v>31302</v>
      </c>
      <c r="N94" s="83"/>
      <c r="P94"/>
    </row>
    <row r="95" spans="1:17" s="42" customFormat="1" x14ac:dyDescent="0.25">
      <c r="A95" s="7" t="s">
        <v>231</v>
      </c>
      <c r="B95" s="7" t="s">
        <v>232</v>
      </c>
      <c r="C95" s="7">
        <v>3</v>
      </c>
      <c r="D95" s="62" t="s">
        <v>500</v>
      </c>
      <c r="E95" s="38">
        <f t="shared" ca="1" si="14"/>
        <v>3.5</v>
      </c>
      <c r="F95" s="63" t="s">
        <v>501</v>
      </c>
      <c r="G95" s="62" t="s">
        <v>190</v>
      </c>
      <c r="H95" s="62" t="s">
        <v>500</v>
      </c>
      <c r="I95" s="40">
        <v>46128</v>
      </c>
      <c r="J95" s="7" t="s">
        <v>499</v>
      </c>
      <c r="K95" s="64">
        <v>44907</v>
      </c>
      <c r="L95" s="62" t="s">
        <v>236</v>
      </c>
      <c r="M95" s="64">
        <v>32478</v>
      </c>
      <c r="N95" s="83"/>
      <c r="O95"/>
      <c r="P95" t="e">
        <f>VLOOKUP(#REF!,'[1]0524'!$B$3:$B$125,1,0)</f>
        <v>#REF!</v>
      </c>
      <c r="Q95"/>
    </row>
    <row r="96" spans="1:17" s="42" customFormat="1" x14ac:dyDescent="0.25">
      <c r="A96" s="7" t="s">
        <v>231</v>
      </c>
      <c r="B96" s="7" t="s">
        <v>232</v>
      </c>
      <c r="C96" s="7">
        <v>4</v>
      </c>
      <c r="D96" s="62" t="s">
        <v>503</v>
      </c>
      <c r="E96" s="38">
        <f t="shared" ca="1" si="14"/>
        <v>0.66666666666666663</v>
      </c>
      <c r="F96" s="63" t="s">
        <v>504</v>
      </c>
      <c r="G96" s="62" t="s">
        <v>192</v>
      </c>
      <c r="H96" s="62" t="s">
        <v>503</v>
      </c>
      <c r="I96" s="40">
        <v>46118</v>
      </c>
      <c r="J96" s="7" t="s">
        <v>499</v>
      </c>
      <c r="K96" s="64">
        <v>45936</v>
      </c>
      <c r="L96" s="62" t="s">
        <v>236</v>
      </c>
      <c r="M96" s="64">
        <v>33531</v>
      </c>
      <c r="N96" s="83"/>
      <c r="O96"/>
      <c r="P96"/>
      <c r="Q96"/>
    </row>
    <row r="97" spans="1:17" s="42" customFormat="1" x14ac:dyDescent="0.25">
      <c r="A97" s="7" t="s">
        <v>231</v>
      </c>
      <c r="B97" s="7" t="s">
        <v>232</v>
      </c>
      <c r="C97" s="7">
        <v>5</v>
      </c>
      <c r="D97" s="4" t="s">
        <v>506</v>
      </c>
      <c r="E97" s="38">
        <f t="shared" ca="1" si="14"/>
        <v>0.5</v>
      </c>
      <c r="F97" s="5" t="s">
        <v>507</v>
      </c>
      <c r="G97" s="62" t="s">
        <v>615</v>
      </c>
      <c r="H97" s="4" t="s">
        <v>506</v>
      </c>
      <c r="I97" s="40"/>
      <c r="J97" s="7" t="s">
        <v>499</v>
      </c>
      <c r="K97" s="44">
        <v>46015</v>
      </c>
      <c r="L97" s="62" t="s">
        <v>236</v>
      </c>
      <c r="M97" s="44">
        <v>31672</v>
      </c>
      <c r="N97" s="83"/>
      <c r="O97"/>
      <c r="P97"/>
      <c r="Q97"/>
    </row>
    <row r="98" spans="1:17" x14ac:dyDescent="0.25">
      <c r="A98" s="7" t="s">
        <v>231</v>
      </c>
      <c r="B98" s="7" t="s">
        <v>232</v>
      </c>
      <c r="C98" s="7">
        <v>6</v>
      </c>
      <c r="D98" s="7" t="s">
        <v>509</v>
      </c>
      <c r="E98" s="38">
        <f ca="1">((YEAR(TODAY())-YEAR(K98))*12+MONTH(TODAY())-MONTH(K98))/12</f>
        <v>0.5</v>
      </c>
      <c r="F98" s="43" t="s">
        <v>510</v>
      </c>
      <c r="G98" s="6" t="s">
        <v>196</v>
      </c>
      <c r="H98" s="7" t="s">
        <v>509</v>
      </c>
      <c r="I98" s="80"/>
      <c r="J98" s="7" t="s">
        <v>499</v>
      </c>
      <c r="K98" s="53">
        <v>45996</v>
      </c>
      <c r="L98" s="7" t="s">
        <v>236</v>
      </c>
      <c r="M98" s="44">
        <v>33006</v>
      </c>
      <c r="N98" s="83"/>
      <c r="P98"/>
    </row>
    <row r="99" spans="1:17" x14ac:dyDescent="0.25">
      <c r="A99" s="7" t="s">
        <v>231</v>
      </c>
      <c r="B99" s="7" t="s">
        <v>232</v>
      </c>
      <c r="C99" s="7">
        <v>1</v>
      </c>
      <c r="D99" s="7" t="s">
        <v>514</v>
      </c>
      <c r="E99" s="38">
        <f ca="1">((YEAR(TODAY())-YEAR(K99))*12+MONTH(TODAY())-MONTH(K99))/12</f>
        <v>6.666666666666667</v>
      </c>
      <c r="F99" s="39">
        <v>2090538252</v>
      </c>
      <c r="G99" s="7" t="s">
        <v>616</v>
      </c>
      <c r="H99" s="7" t="s">
        <v>514</v>
      </c>
      <c r="I99" s="40"/>
      <c r="J99" s="7" t="s">
        <v>516</v>
      </c>
      <c r="K99" s="41">
        <v>43740</v>
      </c>
      <c r="L99" s="7" t="s">
        <v>236</v>
      </c>
      <c r="M99" s="41">
        <v>32176</v>
      </c>
      <c r="N99" s="83"/>
      <c r="P99"/>
      <c r="Q99" s="58"/>
    </row>
    <row r="100" spans="1:17" x14ac:dyDescent="0.25">
      <c r="A100" s="7" t="s">
        <v>231</v>
      </c>
      <c r="B100" s="7" t="s">
        <v>232</v>
      </c>
      <c r="C100" s="7">
        <v>2</v>
      </c>
      <c r="D100" s="7" t="s">
        <v>517</v>
      </c>
      <c r="E100" s="38">
        <f t="shared" ref="E100:E102" ca="1" si="15">((YEAR(TODAY())-YEAR(K100))*12+MONTH(TODAY())-MONTH(K100))/12</f>
        <v>3.8333333333333335</v>
      </c>
      <c r="F100" s="39">
        <v>3210939872</v>
      </c>
      <c r="G100" s="7" t="s">
        <v>570</v>
      </c>
      <c r="H100" s="7" t="s">
        <v>517</v>
      </c>
      <c r="I100" s="40"/>
      <c r="J100" s="7" t="s">
        <v>519</v>
      </c>
      <c r="K100" s="41">
        <v>44781</v>
      </c>
      <c r="L100" s="7" t="s">
        <v>236</v>
      </c>
      <c r="M100" s="41">
        <v>36832</v>
      </c>
      <c r="N100" s="83"/>
      <c r="P100" t="str">
        <f>VLOOKUP(D95,'[1]0524'!$B$3:$B$125,1,0)</f>
        <v>PMT2212001</v>
      </c>
    </row>
    <row r="101" spans="1:17" x14ac:dyDescent="0.25">
      <c r="A101" s="7" t="s">
        <v>231</v>
      </c>
      <c r="B101" s="7" t="s">
        <v>232</v>
      </c>
      <c r="C101" s="7">
        <v>3</v>
      </c>
      <c r="D101" s="7" t="s">
        <v>520</v>
      </c>
      <c r="E101" s="38">
        <f t="shared" ca="1" si="15"/>
        <v>4.5</v>
      </c>
      <c r="F101" s="39" t="s">
        <v>521</v>
      </c>
      <c r="G101" s="7" t="s">
        <v>569</v>
      </c>
      <c r="H101" s="7" t="s">
        <v>520</v>
      </c>
      <c r="I101" s="40"/>
      <c r="J101" s="7" t="s">
        <v>519</v>
      </c>
      <c r="K101" s="41">
        <v>44533</v>
      </c>
      <c r="L101" s="7" t="s">
        <v>236</v>
      </c>
      <c r="M101" s="41">
        <v>34062</v>
      </c>
      <c r="N101" s="83"/>
      <c r="P101" t="e">
        <f>VLOOKUP(#REF!,'[1]0524'!$B$3:$B$125,1,0)</f>
        <v>#REF!</v>
      </c>
    </row>
    <row r="102" spans="1:17" x14ac:dyDescent="0.25">
      <c r="A102" s="7" t="s">
        <v>231</v>
      </c>
      <c r="B102" s="7" t="s">
        <v>232</v>
      </c>
      <c r="C102" s="7">
        <v>4</v>
      </c>
      <c r="D102" s="7" t="s">
        <v>523</v>
      </c>
      <c r="E102" s="38">
        <f t="shared" ca="1" si="15"/>
        <v>1</v>
      </c>
      <c r="F102" s="39" t="s">
        <v>524</v>
      </c>
      <c r="G102" s="7" t="s">
        <v>571</v>
      </c>
      <c r="H102" s="7" t="s">
        <v>523</v>
      </c>
      <c r="I102" s="40"/>
      <c r="J102" s="7" t="s">
        <v>470</v>
      </c>
      <c r="K102" s="41">
        <v>45824</v>
      </c>
      <c r="L102" s="7" t="s">
        <v>236</v>
      </c>
      <c r="M102" s="41">
        <v>30169</v>
      </c>
      <c r="N102" s="83"/>
      <c r="P102"/>
    </row>
    <row r="103" spans="1:17" x14ac:dyDescent="0.25">
      <c r="M103" s="42"/>
      <c r="O103" t="e">
        <f>VLOOKUP(#REF!,'[1]0524'!$B$3:$B$125,1,0)</f>
        <v>#REF!</v>
      </c>
      <c r="P103"/>
    </row>
  </sheetData>
  <printOptions horizontalCentered="1"/>
  <pageMargins left="0" right="0" top="0.31496062992125984" bottom="0.31496062992125984" header="0" footer="0"/>
  <pageSetup paperSize="9" scale="7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E20E-61BC-4F5D-A775-EF6F690B11D5}">
  <dimension ref="A1:O5"/>
  <sheetViews>
    <sheetView workbookViewId="0">
      <selection activeCell="K3" sqref="K3"/>
    </sheetView>
  </sheetViews>
  <sheetFormatPr defaultRowHeight="15" x14ac:dyDescent="0.25"/>
  <cols>
    <col min="10" max="10" width="27.5703125" customWidth="1"/>
    <col min="11" max="11" width="14.85546875" customWidth="1"/>
    <col min="12" max="12" width="19.28515625" customWidth="1"/>
    <col min="13" max="13" width="21.5703125" customWidth="1"/>
    <col min="15" max="15" width="12" customWidth="1"/>
  </cols>
  <sheetData>
    <row r="1" spans="1:15" x14ac:dyDescent="0.25">
      <c r="A1" s="123" t="s">
        <v>526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 x14ac:dyDescent="0.25">
      <c r="A2" s="7" t="s">
        <v>231</v>
      </c>
      <c r="B2" s="7" t="s">
        <v>232</v>
      </c>
      <c r="C2" s="7">
        <v>1</v>
      </c>
      <c r="D2" s="7" t="s">
        <v>527</v>
      </c>
      <c r="E2" s="37"/>
      <c r="F2" s="37"/>
      <c r="G2" s="37"/>
      <c r="H2" s="38">
        <f ca="1">((YEAR(TODAY())-YEAR(M2))*12+MONTH(TODAY())-MONTH(M2))/12</f>
        <v>4.416666666666667</v>
      </c>
      <c r="I2" s="81">
        <v>1393356867</v>
      </c>
      <c r="J2" s="7" t="s">
        <v>528</v>
      </c>
      <c r="K2" s="40">
        <v>46055</v>
      </c>
      <c r="L2" s="7" t="s">
        <v>319</v>
      </c>
      <c r="M2" s="41">
        <v>44572</v>
      </c>
      <c r="N2" s="7" t="s">
        <v>236</v>
      </c>
      <c r="O2" s="41">
        <v>29884</v>
      </c>
    </row>
    <row r="3" spans="1:15" x14ac:dyDescent="0.25">
      <c r="A3" s="7" t="s">
        <v>231</v>
      </c>
      <c r="B3" s="7" t="s">
        <v>232</v>
      </c>
      <c r="C3" s="7">
        <v>2</v>
      </c>
      <c r="D3" s="59" t="s">
        <v>529</v>
      </c>
      <c r="E3" s="60"/>
      <c r="F3" s="60"/>
      <c r="G3" s="60"/>
      <c r="H3" s="38">
        <f ca="1">((YEAR(TODAY())-YEAR(M3))*12+MONTH(TODAY())-MONTH(M3))/12</f>
        <v>1.5833333333333333</v>
      </c>
      <c r="I3" s="82" t="s">
        <v>530</v>
      </c>
      <c r="J3" s="6" t="s">
        <v>531</v>
      </c>
      <c r="K3" s="44">
        <v>46058</v>
      </c>
      <c r="L3" s="7" t="s">
        <v>373</v>
      </c>
      <c r="M3" s="53">
        <v>45607</v>
      </c>
      <c r="N3" s="7" t="s">
        <v>236</v>
      </c>
      <c r="O3" s="41">
        <v>44683</v>
      </c>
    </row>
    <row r="4" spans="1:15" x14ac:dyDescent="0.25">
      <c r="A4" s="7" t="s">
        <v>231</v>
      </c>
      <c r="B4" s="7" t="s">
        <v>232</v>
      </c>
      <c r="C4" s="7">
        <v>3</v>
      </c>
      <c r="D4" s="7" t="s">
        <v>532</v>
      </c>
      <c r="E4" s="77"/>
      <c r="F4" s="77"/>
      <c r="G4" s="77"/>
      <c r="H4" s="38">
        <f ca="1">((YEAR(TODAY())-YEAR(M4))*12+MONTH(TODAY())-MONTH(M4))/12</f>
        <v>5.666666666666667</v>
      </c>
      <c r="I4" s="81" t="s">
        <v>533</v>
      </c>
      <c r="J4" s="7" t="s">
        <v>534</v>
      </c>
      <c r="K4" s="40">
        <v>46055</v>
      </c>
      <c r="L4" s="7" t="s">
        <v>470</v>
      </c>
      <c r="M4" s="41">
        <v>44106</v>
      </c>
      <c r="N4" s="7" t="s">
        <v>236</v>
      </c>
      <c r="O4" s="41">
        <v>31104</v>
      </c>
    </row>
    <row r="5" spans="1:15" x14ac:dyDescent="0.25">
      <c r="A5" s="7" t="s">
        <v>231</v>
      </c>
      <c r="B5" s="7" t="s">
        <v>232</v>
      </c>
      <c r="C5" s="7">
        <v>4</v>
      </c>
      <c r="D5" s="61" t="s">
        <v>535</v>
      </c>
      <c r="E5" s="60"/>
      <c r="F5" s="60"/>
      <c r="G5" s="60"/>
      <c r="H5" s="38">
        <f ca="1">((YEAR(TODAY())-YEAR(M5))*12+MONTH(TODAY())-MONTH(M5))/12</f>
        <v>0.41666666666666669</v>
      </c>
      <c r="I5" s="43" t="s">
        <v>536</v>
      </c>
      <c r="J5" s="7" t="s">
        <v>537</v>
      </c>
      <c r="K5" s="40">
        <v>46071</v>
      </c>
      <c r="L5" s="7" t="s">
        <v>342</v>
      </c>
      <c r="M5" s="44">
        <v>46051</v>
      </c>
      <c r="N5" s="7" t="s">
        <v>236</v>
      </c>
      <c r="O5" s="44">
        <v>35117</v>
      </c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1964-34A0-48A9-94A9-5B6A7BB9FED7}">
  <dimension ref="A1:S173"/>
  <sheetViews>
    <sheetView topLeftCell="E1" zoomScaleNormal="100" zoomScaleSheetLayoutView="100" workbookViewId="0">
      <pane ySplit="4" topLeftCell="A149" activePane="bottomLeft" state="frozen"/>
      <selection pane="bottomLeft" activeCell="J171" sqref="J171"/>
    </sheetView>
  </sheetViews>
  <sheetFormatPr defaultRowHeight="15" x14ac:dyDescent="0.25"/>
  <cols>
    <col min="1" max="1" width="2.7109375" bestFit="1" customWidth="1"/>
    <col min="2" max="2" width="3.42578125" bestFit="1" customWidth="1"/>
    <col min="3" max="3" width="3" bestFit="1" customWidth="1"/>
    <col min="4" max="4" width="13.5703125" bestFit="1" customWidth="1"/>
    <col min="5" max="7" width="4.140625" customWidth="1"/>
    <col min="8" max="9" width="11.5703125" customWidth="1"/>
    <col min="10" max="10" width="28.7109375" bestFit="1" customWidth="1"/>
    <col min="11" max="11" width="11.7109375" style="10" bestFit="1" customWidth="1"/>
    <col min="12" max="12" width="55.140625" bestFit="1" customWidth="1"/>
    <col min="13" max="13" width="11" customWidth="1"/>
    <col min="14" max="14" width="9" customWidth="1"/>
    <col min="15" max="15" width="10.7109375" bestFit="1" customWidth="1"/>
    <col min="16" max="16" width="12" style="55" customWidth="1"/>
    <col min="17" max="17" width="9.140625" hidden="1" customWidth="1"/>
    <col min="18" max="18" width="4.28515625" hidden="1" customWidth="1"/>
    <col min="19" max="19" width="9.140625" style="2"/>
  </cols>
  <sheetData>
    <row r="1" spans="1:19" ht="18.75" x14ac:dyDescent="0.3">
      <c r="A1" s="11" t="s">
        <v>212</v>
      </c>
      <c r="B1" s="12"/>
      <c r="C1" s="12"/>
      <c r="D1" s="12"/>
      <c r="E1" s="12"/>
      <c r="F1" s="12"/>
      <c r="G1" s="12"/>
      <c r="H1" s="12"/>
      <c r="I1" s="12"/>
      <c r="J1" s="12"/>
      <c r="P1" s="10"/>
    </row>
    <row r="2" spans="1:19" ht="18.75" x14ac:dyDescent="0.3">
      <c r="A2" s="13"/>
      <c r="P2" s="10"/>
    </row>
    <row r="3" spans="1:19" ht="17.25" customHeight="1" x14ac:dyDescent="0.3">
      <c r="A3" s="13"/>
      <c r="B3" s="13"/>
      <c r="C3" s="14"/>
      <c r="D3" s="13"/>
      <c r="E3" s="15" t="s">
        <v>213</v>
      </c>
      <c r="F3" s="15" t="s">
        <v>214</v>
      </c>
      <c r="G3" s="15" t="s">
        <v>215</v>
      </c>
      <c r="H3" s="13"/>
      <c r="I3" s="13"/>
      <c r="J3" s="13"/>
      <c r="K3" s="16"/>
      <c r="L3" s="13"/>
      <c r="M3" s="17"/>
      <c r="N3" s="13"/>
      <c r="O3" s="17"/>
      <c r="P3" s="14"/>
      <c r="Q3" s="18"/>
    </row>
    <row r="4" spans="1:19" ht="16.5" customHeight="1" x14ac:dyDescent="0.25">
      <c r="A4" s="19" t="s">
        <v>216</v>
      </c>
      <c r="B4" s="20" t="s">
        <v>217</v>
      </c>
      <c r="C4" s="20" t="s">
        <v>218</v>
      </c>
      <c r="D4" s="20" t="s">
        <v>6</v>
      </c>
      <c r="E4" s="21"/>
      <c r="F4" s="22" t="s">
        <v>219</v>
      </c>
      <c r="G4" s="23"/>
      <c r="H4" s="24" t="s">
        <v>220</v>
      </c>
      <c r="I4" s="20" t="s">
        <v>221</v>
      </c>
      <c r="J4" s="20" t="s">
        <v>222</v>
      </c>
      <c r="K4" s="25" t="s">
        <v>223</v>
      </c>
      <c r="L4" s="20" t="s">
        <v>224</v>
      </c>
      <c r="M4" s="26" t="s">
        <v>225</v>
      </c>
      <c r="N4" s="27" t="s">
        <v>226</v>
      </c>
      <c r="O4" s="28" t="s">
        <v>227</v>
      </c>
      <c r="P4" s="27" t="s">
        <v>228</v>
      </c>
      <c r="Q4" s="18"/>
    </row>
    <row r="5" spans="1:19" x14ac:dyDescent="0.25">
      <c r="A5" s="29"/>
      <c r="B5" s="30"/>
      <c r="C5" s="30"/>
      <c r="D5" s="30"/>
      <c r="E5" s="31"/>
      <c r="F5" s="31"/>
      <c r="G5" s="31"/>
      <c r="H5" s="30"/>
      <c r="I5" s="30"/>
      <c r="J5" s="30" t="s">
        <v>229</v>
      </c>
      <c r="K5" s="32"/>
      <c r="L5" s="33"/>
      <c r="M5" s="34"/>
      <c r="N5" s="33"/>
      <c r="O5" s="34"/>
      <c r="P5" s="35"/>
      <c r="Q5" s="18"/>
    </row>
    <row r="6" spans="1:19" x14ac:dyDescent="0.25">
      <c r="I6" s="10"/>
      <c r="J6" s="36" t="s">
        <v>230</v>
      </c>
      <c r="P6"/>
    </row>
    <row r="7" spans="1:19" x14ac:dyDescent="0.25">
      <c r="A7" s="7" t="s">
        <v>231</v>
      </c>
      <c r="B7" s="7" t="s">
        <v>232</v>
      </c>
      <c r="C7" s="7">
        <v>1</v>
      </c>
      <c r="D7" s="7" t="s">
        <v>233</v>
      </c>
      <c r="E7" s="37"/>
      <c r="F7" s="37"/>
      <c r="G7" s="37"/>
      <c r="H7" s="38">
        <f ca="1">((YEAR(TODAY())-YEAR(M7))*12+MONTH(TODAY())-MONTH(M7))/12</f>
        <v>6.333333333333333</v>
      </c>
      <c r="I7" s="39">
        <v>2801307991</v>
      </c>
      <c r="J7" s="7" t="s">
        <v>234</v>
      </c>
      <c r="K7" s="40"/>
      <c r="L7" s="7" t="s">
        <v>235</v>
      </c>
      <c r="M7" s="41">
        <v>43865</v>
      </c>
      <c r="N7" s="7" t="s">
        <v>236</v>
      </c>
      <c r="O7" s="41">
        <v>32350</v>
      </c>
      <c r="P7" s="42"/>
      <c r="Q7" t="str">
        <f>VLOOKUP(J7,'[2]PT Pipamas Primasejati'!$G:$G,1,0)</f>
        <v>FANNY AISIYAH ZULIANI</v>
      </c>
    </row>
    <row r="8" spans="1:19" x14ac:dyDescent="0.25">
      <c r="A8" s="7" t="s">
        <v>231</v>
      </c>
      <c r="B8" s="7" t="s">
        <v>232</v>
      </c>
      <c r="C8" s="7">
        <v>2</v>
      </c>
      <c r="D8" s="7" t="s">
        <v>237</v>
      </c>
      <c r="E8" s="37"/>
      <c r="F8" s="37"/>
      <c r="G8" s="37"/>
      <c r="H8" s="38">
        <f ca="1">((YEAR(TODAY())-YEAR(M8))*12+MONTH(TODAY())-MONTH(M8))/12</f>
        <v>1.8333333333333333</v>
      </c>
      <c r="I8" s="39" t="s">
        <v>238</v>
      </c>
      <c r="J8" s="7" t="s">
        <v>239</v>
      </c>
      <c r="K8" s="40"/>
      <c r="L8" s="7" t="s">
        <v>240</v>
      </c>
      <c r="M8" s="41">
        <v>45513</v>
      </c>
      <c r="N8" s="7" t="s">
        <v>236</v>
      </c>
      <c r="O8" s="41">
        <v>35872</v>
      </c>
      <c r="P8" s="42"/>
    </row>
    <row r="9" spans="1:19" x14ac:dyDescent="0.25">
      <c r="A9" s="7" t="s">
        <v>231</v>
      </c>
      <c r="B9" s="7" t="s">
        <v>232</v>
      </c>
      <c r="C9" s="7">
        <v>3</v>
      </c>
      <c r="D9" s="7" t="s">
        <v>241</v>
      </c>
      <c r="E9" s="37"/>
      <c r="F9" s="37"/>
      <c r="G9" s="37"/>
      <c r="H9" s="38">
        <f ca="1">((YEAR(TODAY())-YEAR(M9))*12+MONTH(TODAY())-MONTH(M9))/12</f>
        <v>1.3333333333333333</v>
      </c>
      <c r="I9" s="43" t="s">
        <v>242</v>
      </c>
      <c r="J9" s="6" t="s">
        <v>243</v>
      </c>
      <c r="K9" s="40"/>
      <c r="L9" s="7" t="s">
        <v>240</v>
      </c>
      <c r="M9" s="44">
        <v>45705</v>
      </c>
      <c r="N9" s="7" t="s">
        <v>236</v>
      </c>
      <c r="O9" s="45">
        <v>35635</v>
      </c>
      <c r="P9" s="42"/>
    </row>
    <row r="10" spans="1:19" x14ac:dyDescent="0.25">
      <c r="E10" s="46"/>
      <c r="F10" s="46"/>
      <c r="G10" s="46"/>
      <c r="H10" s="47"/>
      <c r="I10" s="48"/>
      <c r="K10" s="49"/>
      <c r="M10" s="50"/>
      <c r="O10" s="50"/>
      <c r="P10" s="42"/>
    </row>
    <row r="11" spans="1:19" x14ac:dyDescent="0.25">
      <c r="I11" s="10"/>
      <c r="J11" s="51" t="s">
        <v>244</v>
      </c>
      <c r="P11" s="42"/>
    </row>
    <row r="12" spans="1:19" x14ac:dyDescent="0.25">
      <c r="I12" s="10"/>
      <c r="J12" s="36" t="s">
        <v>245</v>
      </c>
      <c r="P12" s="42"/>
    </row>
    <row r="13" spans="1:19" x14ac:dyDescent="0.25">
      <c r="A13" s="7" t="s">
        <v>231</v>
      </c>
      <c r="B13" s="7" t="s">
        <v>232</v>
      </c>
      <c r="C13" s="7">
        <v>1</v>
      </c>
      <c r="D13" s="7" t="s">
        <v>246</v>
      </c>
      <c r="E13" s="37"/>
      <c r="F13" s="37"/>
      <c r="G13" s="37"/>
      <c r="H13" s="38">
        <f t="shared" ref="H13:H23" ca="1" si="0">((YEAR(TODAY())-YEAR(M13))*12+MONTH(TODAY())-MONTH(M13))/12</f>
        <v>2.8333333333333335</v>
      </c>
      <c r="I13" s="39" t="s">
        <v>117</v>
      </c>
      <c r="J13" s="7" t="s">
        <v>247</v>
      </c>
      <c r="K13" s="40"/>
      <c r="L13" s="7" t="s">
        <v>248</v>
      </c>
      <c r="M13" s="41">
        <v>45169</v>
      </c>
      <c r="N13" s="7" t="s">
        <v>236</v>
      </c>
      <c r="O13" s="41">
        <v>32129</v>
      </c>
      <c r="P13" s="42"/>
      <c r="R13" t="str">
        <f>VLOOKUP(D13,'[1]0524'!$B$3:$B$125,1,0)</f>
        <v>PMD2207003</v>
      </c>
    </row>
    <row r="14" spans="1:19" x14ac:dyDescent="0.25">
      <c r="A14" s="7" t="s">
        <v>231</v>
      </c>
      <c r="B14" s="7" t="s">
        <v>232</v>
      </c>
      <c r="C14" s="7">
        <v>2</v>
      </c>
      <c r="D14" s="7" t="s">
        <v>249</v>
      </c>
      <c r="E14" s="37"/>
      <c r="F14" s="37"/>
      <c r="G14" s="37"/>
      <c r="H14" s="38">
        <f t="shared" ca="1" si="0"/>
        <v>4.75</v>
      </c>
      <c r="I14" s="39">
        <v>2831290783</v>
      </c>
      <c r="J14" s="7" t="s">
        <v>106</v>
      </c>
      <c r="K14" s="40"/>
      <c r="L14" s="7" t="s">
        <v>250</v>
      </c>
      <c r="M14" s="41">
        <v>44460</v>
      </c>
      <c r="N14" s="7" t="s">
        <v>236</v>
      </c>
      <c r="O14" s="41">
        <v>34894</v>
      </c>
      <c r="P14" s="42"/>
      <c r="R14" t="str">
        <f>VLOOKUP(D14,'[1]0524'!$B$3:$B$125,1,0)</f>
        <v>PMD2109007</v>
      </c>
      <c r="S14"/>
    </row>
    <row r="15" spans="1:19" x14ac:dyDescent="0.25">
      <c r="A15" s="7" t="s">
        <v>231</v>
      </c>
      <c r="B15" s="7" t="s">
        <v>232</v>
      </c>
      <c r="C15" s="7">
        <v>3</v>
      </c>
      <c r="D15" s="7" t="s">
        <v>251</v>
      </c>
      <c r="E15" s="37"/>
      <c r="F15" s="37"/>
      <c r="G15" s="37"/>
      <c r="H15" s="38">
        <f t="shared" ca="1" si="0"/>
        <v>3.6666666666666665</v>
      </c>
      <c r="I15" s="52" t="s">
        <v>252</v>
      </c>
      <c r="J15" s="7" t="s">
        <v>104</v>
      </c>
      <c r="K15" s="40"/>
      <c r="L15" s="7" t="s">
        <v>250</v>
      </c>
      <c r="M15" s="41">
        <v>44858</v>
      </c>
      <c r="N15" s="7" t="s">
        <v>236</v>
      </c>
      <c r="O15" s="41">
        <v>34577</v>
      </c>
      <c r="P15" s="42"/>
      <c r="R15" t="str">
        <f>VLOOKUP(D15,'[1]0524'!$B$3:$B$125,1,0)</f>
        <v>PMD2210008</v>
      </c>
      <c r="S15"/>
    </row>
    <row r="16" spans="1:19" x14ac:dyDescent="0.25">
      <c r="A16" s="7" t="s">
        <v>231</v>
      </c>
      <c r="B16" s="7" t="s">
        <v>232</v>
      </c>
      <c r="C16" s="7">
        <v>4</v>
      </c>
      <c r="D16" s="7" t="s">
        <v>253</v>
      </c>
      <c r="E16" s="37"/>
      <c r="F16" s="37"/>
      <c r="G16" s="37"/>
      <c r="H16" s="38">
        <f t="shared" ca="1" si="0"/>
        <v>1.25</v>
      </c>
      <c r="I16" s="52" t="s">
        <v>254</v>
      </c>
      <c r="J16" s="7" t="s">
        <v>255</v>
      </c>
      <c r="K16" s="40"/>
      <c r="L16" s="7" t="s">
        <v>250</v>
      </c>
      <c r="M16" s="53">
        <v>45727</v>
      </c>
      <c r="N16" s="7" t="s">
        <v>236</v>
      </c>
      <c r="O16" s="41">
        <v>34391</v>
      </c>
      <c r="P16" s="42"/>
      <c r="S16"/>
    </row>
    <row r="17" spans="1:19" x14ac:dyDescent="0.25">
      <c r="A17" s="7" t="s">
        <v>231</v>
      </c>
      <c r="B17" s="7" t="s">
        <v>232</v>
      </c>
      <c r="C17" s="7">
        <v>5</v>
      </c>
      <c r="D17" s="7" t="s">
        <v>256</v>
      </c>
      <c r="E17" s="37"/>
      <c r="F17" s="37"/>
      <c r="G17" s="37"/>
      <c r="H17" s="38">
        <f t="shared" ca="1" si="0"/>
        <v>1.25</v>
      </c>
      <c r="I17" s="52" t="s">
        <v>257</v>
      </c>
      <c r="J17" s="7" t="s">
        <v>258</v>
      </c>
      <c r="K17" s="40"/>
      <c r="L17" s="7" t="s">
        <v>250</v>
      </c>
      <c r="M17" s="53">
        <v>45727</v>
      </c>
      <c r="N17" s="7" t="s">
        <v>236</v>
      </c>
      <c r="O17" s="41">
        <v>35744</v>
      </c>
      <c r="P17" s="42"/>
      <c r="S17"/>
    </row>
    <row r="18" spans="1:19" x14ac:dyDescent="0.25">
      <c r="A18" s="7" t="s">
        <v>231</v>
      </c>
      <c r="B18" s="7" t="s">
        <v>232</v>
      </c>
      <c r="C18" s="7">
        <v>6</v>
      </c>
      <c r="D18" s="7" t="s">
        <v>259</v>
      </c>
      <c r="E18" s="37"/>
      <c r="F18" s="37"/>
      <c r="G18" s="37"/>
      <c r="H18" s="38">
        <f t="shared" ca="1" si="0"/>
        <v>1.0833333333333333</v>
      </c>
      <c r="I18" s="52" t="s">
        <v>260</v>
      </c>
      <c r="J18" s="7" t="s">
        <v>261</v>
      </c>
      <c r="K18" s="40">
        <v>46091</v>
      </c>
      <c r="L18" s="7" t="s">
        <v>250</v>
      </c>
      <c r="M18" s="53">
        <v>45792</v>
      </c>
      <c r="N18" s="7" t="s">
        <v>236</v>
      </c>
      <c r="O18" s="41">
        <v>32585</v>
      </c>
      <c r="P18" s="54"/>
      <c r="S18"/>
    </row>
    <row r="19" spans="1:19" x14ac:dyDescent="0.25">
      <c r="A19" s="7" t="s">
        <v>231</v>
      </c>
      <c r="B19" s="7" t="s">
        <v>232</v>
      </c>
      <c r="C19" s="7">
        <v>7</v>
      </c>
      <c r="D19" s="7" t="s">
        <v>262</v>
      </c>
      <c r="E19" s="37"/>
      <c r="F19" s="37"/>
      <c r="G19" s="37"/>
      <c r="H19" s="38">
        <f t="shared" ca="1" si="0"/>
        <v>0.83333333333333337</v>
      </c>
      <c r="I19" s="43" t="s">
        <v>263</v>
      </c>
      <c r="J19" s="7" t="s">
        <v>264</v>
      </c>
      <c r="K19" s="40"/>
      <c r="L19" s="7" t="s">
        <v>250</v>
      </c>
      <c r="M19" s="41">
        <v>45887</v>
      </c>
      <c r="N19" s="7" t="s">
        <v>236</v>
      </c>
      <c r="O19" s="44">
        <v>34699</v>
      </c>
      <c r="S19"/>
    </row>
    <row r="20" spans="1:19" x14ac:dyDescent="0.25">
      <c r="A20" s="7" t="s">
        <v>231</v>
      </c>
      <c r="B20" s="7" t="s">
        <v>232</v>
      </c>
      <c r="C20" s="7">
        <v>8</v>
      </c>
      <c r="D20" s="56" t="s">
        <v>265</v>
      </c>
      <c r="E20" s="37"/>
      <c r="F20" s="37"/>
      <c r="G20" s="37"/>
      <c r="H20" s="38">
        <f t="shared" ca="1" si="0"/>
        <v>0.83333333333333337</v>
      </c>
      <c r="I20" s="5" t="s">
        <v>266</v>
      </c>
      <c r="J20" s="7" t="s">
        <v>267</v>
      </c>
      <c r="K20" s="40"/>
      <c r="L20" s="7" t="s">
        <v>250</v>
      </c>
      <c r="M20" s="44">
        <v>45896</v>
      </c>
      <c r="N20" s="7" t="s">
        <v>236</v>
      </c>
      <c r="O20" s="44">
        <v>30738</v>
      </c>
      <c r="P20" s="42"/>
      <c r="S20"/>
    </row>
    <row r="21" spans="1:19" x14ac:dyDescent="0.25">
      <c r="A21" s="7" t="s">
        <v>231</v>
      </c>
      <c r="B21" s="7" t="s">
        <v>232</v>
      </c>
      <c r="C21" s="7">
        <v>9</v>
      </c>
      <c r="D21" s="7" t="s">
        <v>268</v>
      </c>
      <c r="E21" s="37"/>
      <c r="F21" s="37"/>
      <c r="G21" s="37"/>
      <c r="H21" s="38">
        <f t="shared" ca="1" si="0"/>
        <v>0.75</v>
      </c>
      <c r="I21" s="52" t="s">
        <v>269</v>
      </c>
      <c r="J21" s="7" t="s">
        <v>98</v>
      </c>
      <c r="K21" s="52"/>
      <c r="L21" s="7" t="s">
        <v>250</v>
      </c>
      <c r="M21" s="57">
        <v>45904</v>
      </c>
      <c r="N21" s="7" t="s">
        <v>236</v>
      </c>
      <c r="O21" s="57">
        <v>29291</v>
      </c>
      <c r="P21" s="42"/>
      <c r="S21" s="58"/>
    </row>
    <row r="22" spans="1:19" x14ac:dyDescent="0.25">
      <c r="A22" s="7" t="s">
        <v>231</v>
      </c>
      <c r="B22" s="7" t="s">
        <v>232</v>
      </c>
      <c r="C22" s="7">
        <v>10</v>
      </c>
      <c r="D22" s="7" t="s">
        <v>270</v>
      </c>
      <c r="E22" s="37"/>
      <c r="F22" s="37"/>
      <c r="G22" s="37"/>
      <c r="H22" s="38">
        <f t="shared" ca="1" si="0"/>
        <v>0.5</v>
      </c>
      <c r="I22" s="7">
        <v>8090609018</v>
      </c>
      <c r="J22" s="7" t="s">
        <v>271</v>
      </c>
      <c r="K22" s="52"/>
      <c r="L22" s="7" t="s">
        <v>248</v>
      </c>
      <c r="M22" s="57">
        <v>46000</v>
      </c>
      <c r="N22" s="7" t="s">
        <v>236</v>
      </c>
      <c r="O22" s="57">
        <v>33910</v>
      </c>
    </row>
    <row r="23" spans="1:19" x14ac:dyDescent="0.25">
      <c r="A23" s="7" t="s">
        <v>231</v>
      </c>
      <c r="B23" s="7" t="s">
        <v>232</v>
      </c>
      <c r="C23" s="7">
        <v>11</v>
      </c>
      <c r="D23" s="7" t="s">
        <v>113</v>
      </c>
      <c r="E23" s="37"/>
      <c r="F23" s="37"/>
      <c r="G23" s="37"/>
      <c r="H23" s="38">
        <f t="shared" ca="1" si="0"/>
        <v>0.5</v>
      </c>
      <c r="I23" s="7" t="s">
        <v>114</v>
      </c>
      <c r="J23" s="7" t="s">
        <v>112</v>
      </c>
      <c r="K23" s="52"/>
      <c r="L23" s="7" t="s">
        <v>250</v>
      </c>
      <c r="M23" s="57">
        <v>45996</v>
      </c>
      <c r="N23" s="7" t="s">
        <v>236</v>
      </c>
      <c r="O23" s="57">
        <v>33210</v>
      </c>
    </row>
    <row r="24" spans="1:19" x14ac:dyDescent="0.25">
      <c r="I24" s="10"/>
      <c r="P24" s="42"/>
      <c r="S24" s="58"/>
    </row>
    <row r="25" spans="1:19" x14ac:dyDescent="0.25">
      <c r="I25" s="10"/>
      <c r="J25" s="51" t="s">
        <v>272</v>
      </c>
      <c r="P25" s="42"/>
      <c r="S25" s="58"/>
    </row>
    <row r="26" spans="1:19" x14ac:dyDescent="0.25">
      <c r="I26" s="10"/>
      <c r="J26" s="36" t="s">
        <v>273</v>
      </c>
      <c r="P26" s="42"/>
      <c r="S26" s="58"/>
    </row>
    <row r="27" spans="1:19" x14ac:dyDescent="0.25">
      <c r="A27" s="7" t="s">
        <v>231</v>
      </c>
      <c r="B27" s="7" t="s">
        <v>232</v>
      </c>
      <c r="C27" s="7">
        <v>1</v>
      </c>
      <c r="D27" s="7" t="s">
        <v>274</v>
      </c>
      <c r="E27" s="37"/>
      <c r="F27" s="37"/>
      <c r="G27" s="37"/>
      <c r="H27" s="38">
        <f t="shared" ref="H27:H33" ca="1" si="1">((YEAR(TODAY())-YEAR(M27))*12+MONTH(TODAY())-MONTH(M27))/12</f>
        <v>4.416666666666667</v>
      </c>
      <c r="I27" s="39">
        <v>4371314568</v>
      </c>
      <c r="J27" s="7" t="s">
        <v>275</v>
      </c>
      <c r="K27" s="40"/>
      <c r="L27" s="7" t="s">
        <v>276</v>
      </c>
      <c r="M27" s="41">
        <v>44588</v>
      </c>
      <c r="N27" s="7" t="s">
        <v>236</v>
      </c>
      <c r="O27" s="41">
        <v>34627</v>
      </c>
      <c r="P27" s="42"/>
      <c r="R27" t="str">
        <f>VLOOKUP(D52,'[1]0524'!$B$3:$B$125,1,0)</f>
        <v>PMD2308002</v>
      </c>
      <c r="S27"/>
    </row>
    <row r="28" spans="1:19" x14ac:dyDescent="0.25">
      <c r="A28" s="7" t="s">
        <v>231</v>
      </c>
      <c r="B28" s="7" t="s">
        <v>232</v>
      </c>
      <c r="C28" s="7">
        <v>2</v>
      </c>
      <c r="D28" s="7" t="s">
        <v>277</v>
      </c>
      <c r="E28" s="37"/>
      <c r="F28" s="37"/>
      <c r="G28" s="37"/>
      <c r="H28" s="38">
        <f t="shared" ca="1" si="1"/>
        <v>4.083333333333333</v>
      </c>
      <c r="I28" s="39">
        <v>2810384045</v>
      </c>
      <c r="J28" s="7" t="s">
        <v>278</v>
      </c>
      <c r="K28" s="40"/>
      <c r="L28" s="9" t="s">
        <v>276</v>
      </c>
      <c r="M28" s="41">
        <v>44704</v>
      </c>
      <c r="N28" s="7" t="s">
        <v>236</v>
      </c>
      <c r="O28" s="41">
        <v>31148</v>
      </c>
      <c r="P28" s="42"/>
      <c r="R28">
        <f>VLOOKUP(D25,'[1]0524'!$B$3:$B$125,1,0)</f>
        <v>0</v>
      </c>
      <c r="S28"/>
    </row>
    <row r="29" spans="1:19" x14ac:dyDescent="0.25">
      <c r="A29" s="7" t="s">
        <v>231</v>
      </c>
      <c r="B29" s="7" t="s">
        <v>232</v>
      </c>
      <c r="C29" s="7">
        <v>3</v>
      </c>
      <c r="D29" s="59" t="s">
        <v>279</v>
      </c>
      <c r="E29" s="60"/>
      <c r="F29" s="60"/>
      <c r="G29" s="60"/>
      <c r="H29" s="38">
        <f t="shared" ca="1" si="1"/>
        <v>1.8333333333333333</v>
      </c>
      <c r="I29" s="43">
        <v>7940315390</v>
      </c>
      <c r="J29" s="6" t="s">
        <v>280</v>
      </c>
      <c r="K29" s="40"/>
      <c r="L29" s="9" t="s">
        <v>276</v>
      </c>
      <c r="M29" s="44">
        <v>45533</v>
      </c>
      <c r="N29" s="7" t="s">
        <v>236</v>
      </c>
      <c r="O29" s="44">
        <v>36568</v>
      </c>
      <c r="P29" s="42"/>
      <c r="S29"/>
    </row>
    <row r="30" spans="1:19" x14ac:dyDescent="0.25">
      <c r="A30" s="7" t="s">
        <v>231</v>
      </c>
      <c r="B30" s="7" t="s">
        <v>232</v>
      </c>
      <c r="C30" s="7">
        <v>4</v>
      </c>
      <c r="D30" s="59" t="s">
        <v>281</v>
      </c>
      <c r="E30" s="60"/>
      <c r="F30" s="60"/>
      <c r="G30" s="60"/>
      <c r="H30" s="38">
        <f t="shared" ca="1" si="1"/>
        <v>1.5</v>
      </c>
      <c r="I30" s="43" t="s">
        <v>282</v>
      </c>
      <c r="J30" s="6" t="s">
        <v>283</v>
      </c>
      <c r="K30" s="40"/>
      <c r="L30" s="9" t="s">
        <v>276</v>
      </c>
      <c r="M30" s="44">
        <v>45628</v>
      </c>
      <c r="N30" s="7" t="s">
        <v>236</v>
      </c>
      <c r="O30" s="44">
        <v>33840</v>
      </c>
      <c r="P30" s="42"/>
      <c r="S30"/>
    </row>
    <row r="31" spans="1:19" x14ac:dyDescent="0.25">
      <c r="A31" s="7" t="s">
        <v>231</v>
      </c>
      <c r="B31" s="7" t="s">
        <v>232</v>
      </c>
      <c r="C31" s="7">
        <v>5</v>
      </c>
      <c r="D31" s="7" t="s">
        <v>284</v>
      </c>
      <c r="E31" s="60"/>
      <c r="F31" s="60"/>
      <c r="G31" s="60"/>
      <c r="H31" s="38">
        <f t="shared" ca="1" si="1"/>
        <v>0.5</v>
      </c>
      <c r="I31" s="52" t="s">
        <v>285</v>
      </c>
      <c r="J31" s="7" t="s">
        <v>286</v>
      </c>
      <c r="K31" s="40"/>
      <c r="L31" s="9" t="s">
        <v>276</v>
      </c>
      <c r="M31" s="57">
        <v>46000</v>
      </c>
      <c r="N31" s="7" t="s">
        <v>236</v>
      </c>
      <c r="O31" s="57">
        <v>34636</v>
      </c>
      <c r="P31" s="42"/>
      <c r="S31" s="58"/>
    </row>
    <row r="32" spans="1:19" x14ac:dyDescent="0.25">
      <c r="A32" s="7" t="s">
        <v>231</v>
      </c>
      <c r="B32" s="7" t="s">
        <v>232</v>
      </c>
      <c r="C32" s="7">
        <v>6</v>
      </c>
      <c r="D32" s="7" t="s">
        <v>287</v>
      </c>
      <c r="E32" s="60"/>
      <c r="F32" s="60"/>
      <c r="G32" s="60"/>
      <c r="H32" s="38">
        <f t="shared" ca="1" si="1"/>
        <v>0.5</v>
      </c>
      <c r="I32" s="52" t="s">
        <v>288</v>
      </c>
      <c r="J32" s="7" t="s">
        <v>289</v>
      </c>
      <c r="K32" s="40"/>
      <c r="L32" s="9" t="s">
        <v>276</v>
      </c>
      <c r="M32" s="57">
        <v>46006</v>
      </c>
      <c r="N32" s="7" t="s">
        <v>236</v>
      </c>
      <c r="O32" s="57">
        <v>36032</v>
      </c>
      <c r="P32" s="42"/>
      <c r="S32" s="58"/>
    </row>
    <row r="33" spans="1:19" x14ac:dyDescent="0.25">
      <c r="A33" s="7" t="s">
        <v>231</v>
      </c>
      <c r="B33" s="7" t="s">
        <v>232</v>
      </c>
      <c r="C33" s="7">
        <v>7</v>
      </c>
      <c r="D33" s="61" t="s">
        <v>12</v>
      </c>
      <c r="E33" s="60"/>
      <c r="F33" s="60"/>
      <c r="G33" s="60"/>
      <c r="H33" s="38">
        <f t="shared" ca="1" si="1"/>
        <v>0.33333333333333331</v>
      </c>
      <c r="I33" s="43" t="s">
        <v>13</v>
      </c>
      <c r="J33" s="7" t="s">
        <v>11</v>
      </c>
      <c r="K33" s="40"/>
      <c r="L33" s="9" t="s">
        <v>276</v>
      </c>
      <c r="M33" s="44">
        <v>46058</v>
      </c>
      <c r="N33" s="7" t="s">
        <v>236</v>
      </c>
      <c r="O33" s="44">
        <v>32805</v>
      </c>
      <c r="P33" s="42"/>
      <c r="S33" s="58"/>
    </row>
    <row r="34" spans="1:19" x14ac:dyDescent="0.25">
      <c r="I34" s="10"/>
      <c r="P34" s="42"/>
      <c r="S34" s="58"/>
    </row>
    <row r="35" spans="1:19" x14ac:dyDescent="0.25">
      <c r="I35" s="10"/>
      <c r="J35" s="36" t="s">
        <v>290</v>
      </c>
      <c r="P35" s="42"/>
      <c r="S35" s="58"/>
    </row>
    <row r="36" spans="1:19" x14ac:dyDescent="0.25">
      <c r="I36" s="10"/>
      <c r="J36" s="51" t="s">
        <v>291</v>
      </c>
      <c r="P36" s="42"/>
      <c r="S36" s="58"/>
    </row>
    <row r="37" spans="1:19" x14ac:dyDescent="0.25">
      <c r="A37" s="7" t="s">
        <v>231</v>
      </c>
      <c r="B37" s="7" t="s">
        <v>232</v>
      </c>
      <c r="C37" s="7">
        <v>1</v>
      </c>
      <c r="D37" s="7" t="s">
        <v>292</v>
      </c>
      <c r="E37" s="37"/>
      <c r="F37" s="37"/>
      <c r="G37" s="37"/>
      <c r="H37" s="38">
        <f t="shared" ref="H37:H44" ca="1" si="2">((YEAR(TODAY())-YEAR(M37))*12+MONTH(TODAY())-MONTH(M37))/12</f>
        <v>5.5</v>
      </c>
      <c r="I37" s="39" t="s">
        <v>293</v>
      </c>
      <c r="J37" s="7" t="s">
        <v>294</v>
      </c>
      <c r="K37" s="40">
        <v>46125</v>
      </c>
      <c r="L37" s="7" t="s">
        <v>295</v>
      </c>
      <c r="M37" s="41">
        <v>44172</v>
      </c>
      <c r="N37" s="7" t="s">
        <v>236</v>
      </c>
      <c r="O37" s="41">
        <v>31221</v>
      </c>
      <c r="P37" s="42" t="s">
        <v>296</v>
      </c>
      <c r="R37">
        <f>VLOOKUP(D35,'[1]0524'!$B$3:$B$125,1,0)</f>
        <v>0</v>
      </c>
      <c r="S37"/>
    </row>
    <row r="38" spans="1:19" x14ac:dyDescent="0.25">
      <c r="A38" s="7" t="s">
        <v>231</v>
      </c>
      <c r="B38" s="7" t="s">
        <v>232</v>
      </c>
      <c r="C38" s="7">
        <v>2</v>
      </c>
      <c r="D38" s="7" t="s">
        <v>297</v>
      </c>
      <c r="E38" s="37"/>
      <c r="F38" s="37"/>
      <c r="G38" s="37"/>
      <c r="H38" s="38">
        <f t="shared" ca="1" si="2"/>
        <v>2.3333333333333335</v>
      </c>
      <c r="I38" s="43" t="s">
        <v>298</v>
      </c>
      <c r="J38" s="6" t="s">
        <v>153</v>
      </c>
      <c r="K38" s="40"/>
      <c r="L38" s="7" t="s">
        <v>299</v>
      </c>
      <c r="M38" s="53">
        <v>45334</v>
      </c>
      <c r="N38" s="7" t="s">
        <v>236</v>
      </c>
      <c r="O38" s="41">
        <v>32768</v>
      </c>
      <c r="P38" s="42"/>
      <c r="R38">
        <f>VLOOKUP(D36,'[1]0524'!$B$3:$B$125,1,0)</f>
        <v>0</v>
      </c>
      <c r="S38"/>
    </row>
    <row r="39" spans="1:19" x14ac:dyDescent="0.25">
      <c r="A39" s="7" t="s">
        <v>231</v>
      </c>
      <c r="B39" s="7" t="s">
        <v>232</v>
      </c>
      <c r="C39" s="7">
        <v>3</v>
      </c>
      <c r="D39" s="7" t="s">
        <v>300</v>
      </c>
      <c r="E39" s="37"/>
      <c r="F39" s="37"/>
      <c r="G39" s="37"/>
      <c r="H39" s="38">
        <f t="shared" ca="1" si="2"/>
        <v>1.9166666666666667</v>
      </c>
      <c r="I39" s="43" t="s">
        <v>301</v>
      </c>
      <c r="J39" s="6" t="s">
        <v>158</v>
      </c>
      <c r="K39" s="40"/>
      <c r="L39" s="7" t="s">
        <v>299</v>
      </c>
      <c r="M39" s="53">
        <v>45481</v>
      </c>
      <c r="N39" s="7" t="s">
        <v>236</v>
      </c>
      <c r="O39" s="41">
        <v>35959</v>
      </c>
      <c r="P39" s="42"/>
      <c r="S39"/>
    </row>
    <row r="40" spans="1:19" x14ac:dyDescent="0.25">
      <c r="A40" s="7" t="s">
        <v>231</v>
      </c>
      <c r="B40" s="7" t="s">
        <v>232</v>
      </c>
      <c r="C40" s="7">
        <v>4</v>
      </c>
      <c r="D40" s="7" t="s">
        <v>302</v>
      </c>
      <c r="E40" s="37"/>
      <c r="F40" s="37"/>
      <c r="G40" s="37"/>
      <c r="H40" s="38">
        <f t="shared" ca="1" si="2"/>
        <v>1.3333333333333333</v>
      </c>
      <c r="I40" s="43" t="s">
        <v>303</v>
      </c>
      <c r="J40" s="6" t="s">
        <v>161</v>
      </c>
      <c r="K40" s="40"/>
      <c r="L40" s="7" t="s">
        <v>299</v>
      </c>
      <c r="M40" s="53">
        <v>45713</v>
      </c>
      <c r="N40" s="7" t="s">
        <v>236</v>
      </c>
      <c r="O40" s="41">
        <v>35233</v>
      </c>
      <c r="P40" s="42"/>
      <c r="S40"/>
    </row>
    <row r="41" spans="1:19" x14ac:dyDescent="0.25">
      <c r="A41" s="7" t="s">
        <v>231</v>
      </c>
      <c r="B41" s="7" t="s">
        <v>232</v>
      </c>
      <c r="C41" s="7">
        <v>5</v>
      </c>
      <c r="D41" s="7" t="s">
        <v>304</v>
      </c>
      <c r="E41" s="37"/>
      <c r="F41" s="37"/>
      <c r="G41" s="37"/>
      <c r="H41" s="38">
        <f t="shared" ca="1" si="2"/>
        <v>1</v>
      </c>
      <c r="I41" s="43" t="s">
        <v>305</v>
      </c>
      <c r="J41" s="6" t="s">
        <v>165</v>
      </c>
      <c r="K41" s="40">
        <v>46111</v>
      </c>
      <c r="L41" s="7" t="s">
        <v>299</v>
      </c>
      <c r="M41" s="53">
        <v>45838</v>
      </c>
      <c r="N41" s="7" t="s">
        <v>306</v>
      </c>
      <c r="O41" s="41">
        <v>37450</v>
      </c>
      <c r="P41" s="42"/>
      <c r="S41"/>
    </row>
    <row r="42" spans="1:19" x14ac:dyDescent="0.25">
      <c r="A42" s="7" t="s">
        <v>231</v>
      </c>
      <c r="B42" s="7" t="s">
        <v>232</v>
      </c>
      <c r="C42" s="7">
        <v>6</v>
      </c>
      <c r="D42" s="7" t="s">
        <v>307</v>
      </c>
      <c r="E42" s="37"/>
      <c r="F42" s="37"/>
      <c r="G42" s="37"/>
      <c r="H42" s="38">
        <f t="shared" ca="1" si="2"/>
        <v>4.916666666666667</v>
      </c>
      <c r="I42" s="43">
        <v>2830811802</v>
      </c>
      <c r="J42" s="6" t="s">
        <v>308</v>
      </c>
      <c r="K42" s="40"/>
      <c r="L42" s="7" t="s">
        <v>299</v>
      </c>
      <c r="M42" s="53">
        <v>44403</v>
      </c>
      <c r="N42" s="7" t="s">
        <v>236</v>
      </c>
      <c r="O42" s="41">
        <v>32155</v>
      </c>
      <c r="P42" s="42"/>
      <c r="S42"/>
    </row>
    <row r="43" spans="1:19" x14ac:dyDescent="0.25">
      <c r="A43" s="7" t="s">
        <v>231</v>
      </c>
      <c r="B43" s="7" t="s">
        <v>232</v>
      </c>
      <c r="C43" s="7">
        <v>8</v>
      </c>
      <c r="D43" s="7" t="s">
        <v>309</v>
      </c>
      <c r="E43" s="37"/>
      <c r="F43" s="37"/>
      <c r="G43" s="37"/>
      <c r="H43" s="38">
        <f t="shared" ca="1" si="2"/>
        <v>0.58333333333333337</v>
      </c>
      <c r="I43" s="43" t="s">
        <v>310</v>
      </c>
      <c r="J43" s="6" t="s">
        <v>311</v>
      </c>
      <c r="K43" s="40"/>
      <c r="L43" s="7" t="s">
        <v>299</v>
      </c>
      <c r="M43" s="53">
        <v>45978</v>
      </c>
      <c r="N43" s="7" t="s">
        <v>236</v>
      </c>
      <c r="O43" s="44">
        <v>31614</v>
      </c>
      <c r="P43" s="42"/>
      <c r="S43"/>
    </row>
    <row r="44" spans="1:19" x14ac:dyDescent="0.25">
      <c r="A44" s="7" t="s">
        <v>231</v>
      </c>
      <c r="B44" s="7" t="s">
        <v>232</v>
      </c>
      <c r="C44" s="7">
        <v>9</v>
      </c>
      <c r="D44" s="7" t="s">
        <v>312</v>
      </c>
      <c r="E44" s="37"/>
      <c r="F44" s="37"/>
      <c r="G44" s="37"/>
      <c r="H44" s="38">
        <f t="shared" ca="1" si="2"/>
        <v>0.58333333333333337</v>
      </c>
      <c r="I44" s="43" t="s">
        <v>313</v>
      </c>
      <c r="J44" s="6" t="s">
        <v>314</v>
      </c>
      <c r="K44" s="40"/>
      <c r="L44" s="7" t="s">
        <v>299</v>
      </c>
      <c r="M44" s="53">
        <v>45979</v>
      </c>
      <c r="N44" s="7" t="s">
        <v>236</v>
      </c>
      <c r="O44" s="44">
        <v>31274</v>
      </c>
      <c r="P44" s="42"/>
      <c r="S44"/>
    </row>
    <row r="45" spans="1:19" x14ac:dyDescent="0.25">
      <c r="I45" s="10"/>
      <c r="P45" s="42"/>
      <c r="S45" s="58"/>
    </row>
    <row r="46" spans="1:19" x14ac:dyDescent="0.25">
      <c r="I46" s="10"/>
      <c r="J46" s="51" t="s">
        <v>315</v>
      </c>
      <c r="P46" s="42"/>
      <c r="S46" s="58"/>
    </row>
    <row r="47" spans="1:19" x14ac:dyDescent="0.25">
      <c r="I47" s="10"/>
      <c r="J47" s="36" t="s">
        <v>316</v>
      </c>
      <c r="P47" s="42"/>
      <c r="S47" s="58"/>
    </row>
    <row r="48" spans="1:19" x14ac:dyDescent="0.25">
      <c r="A48" s="7" t="s">
        <v>231</v>
      </c>
      <c r="B48" s="7" t="s">
        <v>232</v>
      </c>
      <c r="C48" s="7">
        <v>1</v>
      </c>
      <c r="D48" s="7" t="s">
        <v>317</v>
      </c>
      <c r="E48" s="37"/>
      <c r="F48" s="37"/>
      <c r="G48" s="37"/>
      <c r="H48" s="38">
        <f t="shared" ref="H48:H54" ca="1" si="3">((YEAR(TODAY())-YEAR(M48))*12+MONTH(TODAY())-MONTH(M48))/12</f>
        <v>4.583333333333333</v>
      </c>
      <c r="I48" s="39">
        <v>2830825579</v>
      </c>
      <c r="J48" s="7" t="s">
        <v>318</v>
      </c>
      <c r="K48" s="40"/>
      <c r="L48" s="7" t="s">
        <v>319</v>
      </c>
      <c r="M48" s="41">
        <v>44525</v>
      </c>
      <c r="N48" s="7" t="s">
        <v>236</v>
      </c>
      <c r="O48" s="41">
        <v>27249</v>
      </c>
      <c r="P48" s="42"/>
      <c r="R48">
        <f>VLOOKUP(D45,'[1]0524'!$B$3:$B$125,1,0)</f>
        <v>0</v>
      </c>
      <c r="S48"/>
    </row>
    <row r="49" spans="1:19" x14ac:dyDescent="0.25">
      <c r="A49" s="7" t="s">
        <v>231</v>
      </c>
      <c r="B49" s="7" t="s">
        <v>232</v>
      </c>
      <c r="C49" s="7">
        <v>2</v>
      </c>
      <c r="D49" s="7" t="s">
        <v>320</v>
      </c>
      <c r="E49" s="37"/>
      <c r="F49" s="37"/>
      <c r="G49" s="37"/>
      <c r="H49" s="38">
        <f t="shared" ca="1" si="3"/>
        <v>4.5</v>
      </c>
      <c r="I49" s="39">
        <v>1393317101</v>
      </c>
      <c r="J49" s="7" t="s">
        <v>69</v>
      </c>
      <c r="K49" s="40"/>
      <c r="L49" s="7" t="s">
        <v>321</v>
      </c>
      <c r="M49" s="41">
        <v>44533</v>
      </c>
      <c r="N49" s="7" t="s">
        <v>236</v>
      </c>
      <c r="O49" s="41">
        <v>32685</v>
      </c>
      <c r="P49" s="42"/>
      <c r="R49">
        <f>VLOOKUP(D47,'[1]0524'!$B$3:$B$125,1,0)</f>
        <v>0</v>
      </c>
      <c r="S49"/>
    </row>
    <row r="50" spans="1:19" x14ac:dyDescent="0.25">
      <c r="A50" s="7" t="s">
        <v>231</v>
      </c>
      <c r="B50" s="7" t="s">
        <v>232</v>
      </c>
      <c r="C50" s="7">
        <v>3</v>
      </c>
      <c r="D50" s="7" t="s">
        <v>322</v>
      </c>
      <c r="E50" s="37"/>
      <c r="F50" s="37"/>
      <c r="G50" s="37"/>
      <c r="H50" s="38">
        <f t="shared" ca="1" si="3"/>
        <v>4.416666666666667</v>
      </c>
      <c r="I50" s="39">
        <v>1760203960</v>
      </c>
      <c r="J50" s="7" t="s">
        <v>323</v>
      </c>
      <c r="K50" s="40"/>
      <c r="L50" s="7" t="s">
        <v>319</v>
      </c>
      <c r="M50" s="41">
        <v>44572</v>
      </c>
      <c r="N50" s="7" t="s">
        <v>236</v>
      </c>
      <c r="O50" s="41">
        <v>32726</v>
      </c>
      <c r="P50" s="42"/>
      <c r="R50" t="str">
        <f>VLOOKUP(D48,'[1]0524'!$B$3:$B$125,1,0)</f>
        <v>PMD2111013</v>
      </c>
      <c r="S50"/>
    </row>
    <row r="51" spans="1:19" x14ac:dyDescent="0.25">
      <c r="A51" s="7" t="s">
        <v>231</v>
      </c>
      <c r="B51" s="7" t="s">
        <v>232</v>
      </c>
      <c r="C51" s="7">
        <v>4</v>
      </c>
      <c r="D51" s="7" t="s">
        <v>324</v>
      </c>
      <c r="E51" s="37"/>
      <c r="F51" s="37"/>
      <c r="G51" s="37"/>
      <c r="H51" s="38">
        <f t="shared" ca="1" si="3"/>
        <v>4</v>
      </c>
      <c r="I51" s="39">
        <v>4372932876</v>
      </c>
      <c r="J51" s="7" t="s">
        <v>64</v>
      </c>
      <c r="K51" s="40"/>
      <c r="L51" s="7" t="s">
        <v>325</v>
      </c>
      <c r="M51" s="41">
        <v>44732</v>
      </c>
      <c r="N51" s="7" t="s">
        <v>236</v>
      </c>
      <c r="O51" s="41">
        <v>29884</v>
      </c>
      <c r="P51" s="42"/>
      <c r="R51" t="str">
        <f>VLOOKUP(D169,'[1]0524'!$B$3:$B$125,1,0)</f>
        <v>PMD2201006</v>
      </c>
      <c r="S51"/>
    </row>
    <row r="52" spans="1:19" x14ac:dyDescent="0.25">
      <c r="A52" s="7" t="s">
        <v>231</v>
      </c>
      <c r="B52" s="7" t="s">
        <v>232</v>
      </c>
      <c r="C52" s="7">
        <v>5</v>
      </c>
      <c r="D52" s="7" t="s">
        <v>326</v>
      </c>
      <c r="E52" s="37"/>
      <c r="F52" s="37"/>
      <c r="G52" s="37"/>
      <c r="H52" s="38">
        <f t="shared" ca="1" si="3"/>
        <v>2.8333333333333335</v>
      </c>
      <c r="I52" s="52" t="s">
        <v>327</v>
      </c>
      <c r="J52" s="7" t="s">
        <v>328</v>
      </c>
      <c r="K52" s="40">
        <v>46136</v>
      </c>
      <c r="L52" s="7" t="s">
        <v>319</v>
      </c>
      <c r="M52" s="53">
        <v>45139</v>
      </c>
      <c r="N52" s="7" t="s">
        <v>236</v>
      </c>
      <c r="O52" s="41">
        <v>33909</v>
      </c>
      <c r="P52" s="42" t="s">
        <v>296</v>
      </c>
      <c r="R52" t="e">
        <f>VLOOKUP(D49,'[1]0524'!$B$3:$B$125,1,0)</f>
        <v>#N/A</v>
      </c>
      <c r="S52"/>
    </row>
    <row r="53" spans="1:19" x14ac:dyDescent="0.25">
      <c r="A53" s="7" t="s">
        <v>231</v>
      </c>
      <c r="B53" s="7" t="s">
        <v>232</v>
      </c>
      <c r="C53" s="7">
        <v>6</v>
      </c>
      <c r="D53" s="61" t="s">
        <v>61</v>
      </c>
      <c r="E53" s="37"/>
      <c r="F53" s="37"/>
      <c r="G53" s="37"/>
      <c r="H53" s="38">
        <f t="shared" ca="1" si="3"/>
        <v>0.33333333333333331</v>
      </c>
      <c r="I53" s="43" t="s">
        <v>62</v>
      </c>
      <c r="J53" s="7" t="s">
        <v>329</v>
      </c>
      <c r="K53" s="40"/>
      <c r="L53" s="7" t="s">
        <v>319</v>
      </c>
      <c r="M53" s="44">
        <v>46057</v>
      </c>
      <c r="N53" s="7" t="s">
        <v>236</v>
      </c>
      <c r="O53" s="44">
        <v>32046</v>
      </c>
      <c r="P53" s="42"/>
      <c r="S53"/>
    </row>
    <row r="54" spans="1:19" x14ac:dyDescent="0.25">
      <c r="A54" s="7" t="s">
        <v>231</v>
      </c>
      <c r="B54" s="7" t="s">
        <v>232</v>
      </c>
      <c r="C54" s="7">
        <v>7</v>
      </c>
      <c r="D54" s="61" t="s">
        <v>72</v>
      </c>
      <c r="E54" s="37"/>
      <c r="F54" s="37"/>
      <c r="G54" s="37"/>
      <c r="H54" s="38">
        <f t="shared" ca="1" si="3"/>
        <v>0.33333333333333331</v>
      </c>
      <c r="I54" s="43" t="s">
        <v>73</v>
      </c>
      <c r="J54" s="7" t="s">
        <v>71</v>
      </c>
      <c r="K54" s="40"/>
      <c r="L54" s="7" t="s">
        <v>330</v>
      </c>
      <c r="M54" s="44">
        <v>46073</v>
      </c>
      <c r="N54" s="7" t="s">
        <v>236</v>
      </c>
      <c r="O54" s="44">
        <v>31175</v>
      </c>
      <c r="P54" s="42"/>
      <c r="S54"/>
    </row>
    <row r="55" spans="1:19" x14ac:dyDescent="0.25">
      <c r="I55" s="10"/>
      <c r="P55" s="42"/>
      <c r="S55" s="58"/>
    </row>
    <row r="56" spans="1:19" x14ac:dyDescent="0.25">
      <c r="I56" s="10"/>
      <c r="J56" s="51" t="s">
        <v>331</v>
      </c>
      <c r="P56" s="42"/>
      <c r="S56" s="58"/>
    </row>
    <row r="57" spans="1:19" x14ac:dyDescent="0.25">
      <c r="A57" s="7" t="s">
        <v>231</v>
      </c>
      <c r="B57" s="7" t="s">
        <v>232</v>
      </c>
      <c r="C57" s="7">
        <v>1</v>
      </c>
      <c r="D57" s="7" t="s">
        <v>332</v>
      </c>
      <c r="E57" s="37"/>
      <c r="F57" s="37"/>
      <c r="G57" s="37"/>
      <c r="H57" s="38">
        <f ca="1">((YEAR(TODAY())-YEAR(M57))*12+MONTH(TODAY())-MONTH(M57))/12</f>
        <v>4.083333333333333</v>
      </c>
      <c r="I57" s="39">
        <v>8100893330</v>
      </c>
      <c r="J57" s="7" t="s">
        <v>20</v>
      </c>
      <c r="K57" s="40"/>
      <c r="L57" s="7" t="s">
        <v>333</v>
      </c>
      <c r="M57" s="41">
        <v>44706</v>
      </c>
      <c r="N57" s="7" t="s">
        <v>236</v>
      </c>
      <c r="O57" s="44">
        <v>35135</v>
      </c>
      <c r="P57" s="42"/>
      <c r="R57">
        <f>VLOOKUP(D55,'[1]0524'!$B$3:$B$125,1,0)</f>
        <v>0</v>
      </c>
      <c r="S57"/>
    </row>
    <row r="58" spans="1:19" x14ac:dyDescent="0.25">
      <c r="I58" s="10"/>
      <c r="P58" s="42"/>
      <c r="S58" s="58"/>
    </row>
    <row r="59" spans="1:19" x14ac:dyDescent="0.25">
      <c r="A59" s="30"/>
      <c r="B59" s="30"/>
      <c r="C59" s="30"/>
      <c r="D59" s="30"/>
      <c r="E59" s="31"/>
      <c r="F59" s="31"/>
      <c r="G59" s="31"/>
      <c r="H59" s="30"/>
      <c r="I59" s="30"/>
      <c r="J59" s="30" t="s">
        <v>334</v>
      </c>
      <c r="K59" s="32"/>
      <c r="L59" s="33"/>
      <c r="M59" s="34"/>
      <c r="N59" s="33"/>
      <c r="O59" s="34"/>
      <c r="P59" s="42"/>
      <c r="S59"/>
    </row>
    <row r="60" spans="1:19" x14ac:dyDescent="0.25">
      <c r="I60" s="10"/>
      <c r="J60" s="51" t="s">
        <v>335</v>
      </c>
      <c r="P60" s="42"/>
      <c r="S60"/>
    </row>
    <row r="61" spans="1:19" x14ac:dyDescent="0.25">
      <c r="I61" s="10"/>
      <c r="J61" s="36" t="s">
        <v>336</v>
      </c>
      <c r="P61" s="42"/>
      <c r="S61"/>
    </row>
    <row r="62" spans="1:19" x14ac:dyDescent="0.25">
      <c r="A62" s="7" t="s">
        <v>231</v>
      </c>
      <c r="B62" s="7" t="s">
        <v>232</v>
      </c>
      <c r="C62" s="7">
        <v>1</v>
      </c>
      <c r="D62" s="7" t="s">
        <v>337</v>
      </c>
      <c r="E62" s="37"/>
      <c r="F62" s="37"/>
      <c r="G62" s="37"/>
      <c r="H62" s="38">
        <f t="shared" ref="H62:H67" ca="1" si="4">((YEAR(TODAY())-YEAR(M62))*12+MONTH(TODAY())-MONTH(M62))/12</f>
        <v>1</v>
      </c>
      <c r="I62" s="52" t="s">
        <v>338</v>
      </c>
      <c r="J62" s="6" t="s">
        <v>85</v>
      </c>
      <c r="K62" s="40">
        <v>46146</v>
      </c>
      <c r="L62" s="7" t="s">
        <v>339</v>
      </c>
      <c r="M62" s="57">
        <v>45817</v>
      </c>
      <c r="N62" s="7" t="s">
        <v>236</v>
      </c>
      <c r="O62" s="57">
        <v>30054</v>
      </c>
      <c r="P62" s="42" t="s">
        <v>296</v>
      </c>
      <c r="S62"/>
    </row>
    <row r="63" spans="1:19" x14ac:dyDescent="0.25">
      <c r="A63" s="7" t="s">
        <v>231</v>
      </c>
      <c r="B63" s="7" t="s">
        <v>232</v>
      </c>
      <c r="C63" s="7">
        <v>2</v>
      </c>
      <c r="D63" s="7" t="s">
        <v>340</v>
      </c>
      <c r="E63" s="37"/>
      <c r="F63" s="37"/>
      <c r="G63" s="37"/>
      <c r="H63" s="38">
        <f t="shared" ca="1" si="4"/>
        <v>6.75</v>
      </c>
      <c r="I63" s="39">
        <v>3370017751</v>
      </c>
      <c r="J63" s="7" t="s">
        <v>341</v>
      </c>
      <c r="K63" s="40"/>
      <c r="L63" s="7" t="s">
        <v>342</v>
      </c>
      <c r="M63" s="41">
        <v>43731</v>
      </c>
      <c r="N63" s="7" t="s">
        <v>236</v>
      </c>
      <c r="O63" s="41">
        <v>33253</v>
      </c>
      <c r="P63" s="42"/>
      <c r="R63">
        <f>VLOOKUP(D60,'[1]0524'!$B$3:$B$125,1,0)</f>
        <v>0</v>
      </c>
      <c r="S63"/>
    </row>
    <row r="64" spans="1:19" x14ac:dyDescent="0.25">
      <c r="A64" s="7" t="s">
        <v>231</v>
      </c>
      <c r="B64" s="7" t="s">
        <v>232</v>
      </c>
      <c r="C64" s="7">
        <v>3</v>
      </c>
      <c r="D64" s="7" t="s">
        <v>343</v>
      </c>
      <c r="E64" s="37"/>
      <c r="F64" s="37"/>
      <c r="G64" s="37"/>
      <c r="H64" s="38">
        <f t="shared" ca="1" si="4"/>
        <v>5.083333333333333</v>
      </c>
      <c r="I64" s="39">
        <v>8720710197</v>
      </c>
      <c r="J64" s="7" t="s">
        <v>344</v>
      </c>
      <c r="K64" s="40"/>
      <c r="L64" s="7" t="s">
        <v>342</v>
      </c>
      <c r="M64" s="41">
        <v>44341</v>
      </c>
      <c r="N64" s="7" t="s">
        <v>236</v>
      </c>
      <c r="O64" s="41">
        <v>32708</v>
      </c>
      <c r="P64" s="42"/>
      <c r="R64">
        <f>VLOOKUP(D61,'[1]0524'!$B$3:$B$125,1,0)</f>
        <v>0</v>
      </c>
      <c r="S64"/>
    </row>
    <row r="65" spans="1:19" x14ac:dyDescent="0.25">
      <c r="A65" s="7" t="s">
        <v>231</v>
      </c>
      <c r="B65" s="7" t="s">
        <v>232</v>
      </c>
      <c r="C65" s="7">
        <v>4</v>
      </c>
      <c r="D65" s="7" t="s">
        <v>345</v>
      </c>
      <c r="E65" s="37"/>
      <c r="F65" s="37"/>
      <c r="G65" s="37"/>
      <c r="H65" s="38">
        <f t="shared" ca="1" si="4"/>
        <v>2.0833333333333335</v>
      </c>
      <c r="I65" s="52" t="s">
        <v>346</v>
      </c>
      <c r="J65" s="7" t="s">
        <v>347</v>
      </c>
      <c r="K65" s="40"/>
      <c r="L65" s="7" t="s">
        <v>342</v>
      </c>
      <c r="M65" s="53">
        <v>45426</v>
      </c>
      <c r="N65" s="7" t="s">
        <v>236</v>
      </c>
      <c r="O65" s="41">
        <v>31565</v>
      </c>
      <c r="P65" s="42"/>
      <c r="S65"/>
    </row>
    <row r="66" spans="1:19" x14ac:dyDescent="0.25">
      <c r="A66" s="7" t="s">
        <v>231</v>
      </c>
      <c r="B66" s="7" t="s">
        <v>232</v>
      </c>
      <c r="C66" s="7">
        <v>5</v>
      </c>
      <c r="D66" s="7" t="s">
        <v>348</v>
      </c>
      <c r="E66" s="60"/>
      <c r="F66" s="60"/>
      <c r="G66" s="60"/>
      <c r="H66" s="38">
        <f t="shared" ca="1" si="4"/>
        <v>1.5833333333333333</v>
      </c>
      <c r="I66" s="43" t="s">
        <v>349</v>
      </c>
      <c r="J66" s="7" t="s">
        <v>350</v>
      </c>
      <c r="K66" s="40"/>
      <c r="L66" s="7" t="s">
        <v>342</v>
      </c>
      <c r="M66" s="57">
        <v>45616</v>
      </c>
      <c r="N66" s="7" t="s">
        <v>236</v>
      </c>
      <c r="O66" s="57">
        <v>34033</v>
      </c>
      <c r="P66" s="42"/>
    </row>
    <row r="67" spans="1:19" x14ac:dyDescent="0.25">
      <c r="A67" s="7" t="s">
        <v>231</v>
      </c>
      <c r="B67" s="7" t="s">
        <v>232</v>
      </c>
      <c r="C67" s="7">
        <v>6</v>
      </c>
      <c r="D67" s="7" t="s">
        <v>93</v>
      </c>
      <c r="E67" s="60"/>
      <c r="F67" s="60"/>
      <c r="G67" s="60"/>
      <c r="H67" s="38">
        <f t="shared" ca="1" si="4"/>
        <v>0.75</v>
      </c>
      <c r="I67" s="43" t="s">
        <v>94</v>
      </c>
      <c r="J67" s="7" t="s">
        <v>351</v>
      </c>
      <c r="K67" s="40"/>
      <c r="L67" s="7" t="s">
        <v>352</v>
      </c>
      <c r="M67" s="57">
        <v>45901</v>
      </c>
      <c r="N67" s="7" t="s">
        <v>236</v>
      </c>
      <c r="O67" s="44">
        <v>34609</v>
      </c>
      <c r="P67" s="42"/>
    </row>
    <row r="68" spans="1:19" x14ac:dyDescent="0.25">
      <c r="I68" s="10"/>
      <c r="P68" s="42"/>
      <c r="S68"/>
    </row>
    <row r="69" spans="1:19" x14ac:dyDescent="0.25">
      <c r="I69" s="10"/>
      <c r="J69" s="51" t="s">
        <v>353</v>
      </c>
      <c r="P69" s="42"/>
      <c r="S69"/>
    </row>
    <row r="70" spans="1:19" x14ac:dyDescent="0.25">
      <c r="I70" s="10"/>
      <c r="J70" s="36" t="s">
        <v>354</v>
      </c>
      <c r="P70" s="42"/>
      <c r="S70"/>
    </row>
    <row r="71" spans="1:19" x14ac:dyDescent="0.25">
      <c r="A71" s="7" t="s">
        <v>231</v>
      </c>
      <c r="B71" s="7" t="s">
        <v>232</v>
      </c>
      <c r="C71" s="7">
        <v>1</v>
      </c>
      <c r="D71" s="7" t="s">
        <v>56</v>
      </c>
      <c r="E71" s="37"/>
      <c r="F71" s="37"/>
      <c r="G71" s="37"/>
      <c r="H71" s="38">
        <f t="shared" ref="H71:H77" ca="1" si="5">((YEAR(TODAY())-YEAR(M71))*12+MONTH(TODAY())-MONTH(M71))/12</f>
        <v>2.0833333333333335</v>
      </c>
      <c r="I71" s="52" t="s">
        <v>57</v>
      </c>
      <c r="J71" s="7" t="s">
        <v>355</v>
      </c>
      <c r="K71" s="44"/>
      <c r="L71" s="7" t="s">
        <v>356</v>
      </c>
      <c r="M71" s="41">
        <v>45414</v>
      </c>
      <c r="N71" s="7" t="s">
        <v>236</v>
      </c>
      <c r="O71" s="44">
        <v>35387</v>
      </c>
      <c r="P71" s="42"/>
      <c r="S71"/>
    </row>
    <row r="72" spans="1:19" x14ac:dyDescent="0.25">
      <c r="A72" s="7" t="s">
        <v>231</v>
      </c>
      <c r="B72" s="7" t="s">
        <v>232</v>
      </c>
      <c r="C72" s="7">
        <v>2</v>
      </c>
      <c r="D72" s="7" t="s">
        <v>357</v>
      </c>
      <c r="E72" s="37"/>
      <c r="F72" s="37"/>
      <c r="G72" s="37"/>
      <c r="H72" s="38">
        <f t="shared" ca="1" si="5"/>
        <v>5.75</v>
      </c>
      <c r="I72" s="39">
        <v>5735335861</v>
      </c>
      <c r="J72" s="7" t="s">
        <v>358</v>
      </c>
      <c r="K72" s="44"/>
      <c r="L72" s="62" t="s">
        <v>359</v>
      </c>
      <c r="M72" s="41">
        <v>44099</v>
      </c>
      <c r="N72" s="7" t="s">
        <v>236</v>
      </c>
      <c r="O72" s="41">
        <v>30179</v>
      </c>
      <c r="P72" s="42"/>
      <c r="R72">
        <f>VLOOKUP(D69,'[1]0524'!$B$3:$B$125,1,0)</f>
        <v>0</v>
      </c>
      <c r="S72"/>
    </row>
    <row r="73" spans="1:19" x14ac:dyDescent="0.25">
      <c r="A73" s="7" t="s">
        <v>231</v>
      </c>
      <c r="B73" s="7" t="s">
        <v>232</v>
      </c>
      <c r="C73" s="7">
        <v>3</v>
      </c>
      <c r="D73" s="7" t="s">
        <v>360</v>
      </c>
      <c r="E73" s="37"/>
      <c r="F73" s="37"/>
      <c r="G73" s="37"/>
      <c r="H73" s="38">
        <f t="shared" ca="1" si="5"/>
        <v>4.5</v>
      </c>
      <c r="I73" s="39">
        <v>5015250876</v>
      </c>
      <c r="J73" s="7" t="s">
        <v>361</v>
      </c>
      <c r="K73" s="44"/>
      <c r="L73" s="7" t="s">
        <v>359</v>
      </c>
      <c r="M73" s="41">
        <v>44531</v>
      </c>
      <c r="N73" s="7" t="s">
        <v>236</v>
      </c>
      <c r="O73" s="41">
        <v>33197</v>
      </c>
      <c r="P73" s="42"/>
      <c r="R73">
        <f>VLOOKUP(D70,'[1]0524'!$B$3:$B$125,1,0)</f>
        <v>0</v>
      </c>
      <c r="S73"/>
    </row>
    <row r="74" spans="1:19" x14ac:dyDescent="0.25">
      <c r="A74" s="7" t="s">
        <v>231</v>
      </c>
      <c r="B74" s="7" t="s">
        <v>232</v>
      </c>
      <c r="C74" s="7">
        <v>4</v>
      </c>
      <c r="D74" s="62" t="s">
        <v>53</v>
      </c>
      <c r="E74" s="37"/>
      <c r="F74" s="37"/>
      <c r="G74" s="37"/>
      <c r="H74" s="38">
        <f t="shared" ca="1" si="5"/>
        <v>3.5833333333333335</v>
      </c>
      <c r="I74" s="63" t="s">
        <v>54</v>
      </c>
      <c r="J74" s="62" t="s">
        <v>362</v>
      </c>
      <c r="K74" s="44"/>
      <c r="L74" s="62" t="s">
        <v>363</v>
      </c>
      <c r="M74" s="64">
        <v>44875</v>
      </c>
      <c r="N74" s="62" t="s">
        <v>236</v>
      </c>
      <c r="O74" s="64">
        <v>29884</v>
      </c>
      <c r="P74" s="42"/>
      <c r="R74" t="e">
        <f>VLOOKUP(D71,'[1]0524'!$B$3:$B$125,1,0)</f>
        <v>#N/A</v>
      </c>
      <c r="S74"/>
    </row>
    <row r="75" spans="1:19" x14ac:dyDescent="0.25">
      <c r="A75" s="7" t="s">
        <v>231</v>
      </c>
      <c r="B75" s="7" t="s">
        <v>232</v>
      </c>
      <c r="C75" s="7">
        <v>5</v>
      </c>
      <c r="D75" s="7" t="s">
        <v>364</v>
      </c>
      <c r="E75" s="37"/>
      <c r="F75" s="37"/>
      <c r="G75" s="37"/>
      <c r="H75" s="38">
        <f t="shared" ca="1" si="5"/>
        <v>2.0833333333333335</v>
      </c>
      <c r="I75" s="43" t="s">
        <v>365</v>
      </c>
      <c r="J75" s="6" t="s">
        <v>366</v>
      </c>
      <c r="K75" s="44"/>
      <c r="L75" s="7" t="s">
        <v>359</v>
      </c>
      <c r="M75" s="53">
        <v>45414</v>
      </c>
      <c r="N75" s="7" t="s">
        <v>236</v>
      </c>
      <c r="O75" s="41">
        <v>34399</v>
      </c>
      <c r="P75" s="42"/>
      <c r="R75" t="str">
        <f>VLOOKUP(D72,'[1]0524'!$B$3:$B$125,1,0)</f>
        <v>PMB2009005</v>
      </c>
      <c r="S75"/>
    </row>
    <row r="76" spans="1:19" s="42" customFormat="1" x14ac:dyDescent="0.25">
      <c r="A76" s="7" t="s">
        <v>231</v>
      </c>
      <c r="B76" s="7" t="s">
        <v>232</v>
      </c>
      <c r="C76" s="7">
        <v>6</v>
      </c>
      <c r="D76" s="62" t="s">
        <v>367</v>
      </c>
      <c r="E76" s="37"/>
      <c r="F76" s="37"/>
      <c r="G76" s="37"/>
      <c r="H76" s="38">
        <f t="shared" ca="1" si="5"/>
        <v>3.5</v>
      </c>
      <c r="I76" s="63">
        <v>7402130230</v>
      </c>
      <c r="J76" s="62" t="s">
        <v>368</v>
      </c>
      <c r="K76" s="44"/>
      <c r="L76" s="7" t="s">
        <v>359</v>
      </c>
      <c r="M76" s="64">
        <v>44903</v>
      </c>
      <c r="N76" s="62" t="s">
        <v>236</v>
      </c>
      <c r="O76" s="64">
        <v>35619</v>
      </c>
      <c r="Q76"/>
      <c r="R76" t="str">
        <f>VLOOKUP(D73,'[1]0524'!$B$3:$B$125,1,0)</f>
        <v>PMB2112002</v>
      </c>
      <c r="S76"/>
    </row>
    <row r="77" spans="1:19" s="42" customFormat="1" x14ac:dyDescent="0.25">
      <c r="A77" s="7" t="s">
        <v>231</v>
      </c>
      <c r="B77" s="7" t="s">
        <v>232</v>
      </c>
      <c r="C77" s="7">
        <v>7</v>
      </c>
      <c r="D77" s="61" t="s">
        <v>49</v>
      </c>
      <c r="E77" s="37"/>
      <c r="F77" s="37"/>
      <c r="G77" s="37"/>
      <c r="H77" s="38">
        <f t="shared" ca="1" si="5"/>
        <v>0.33333333333333331</v>
      </c>
      <c r="I77" s="43" t="s">
        <v>50</v>
      </c>
      <c r="J77" s="62" t="s">
        <v>48</v>
      </c>
      <c r="K77" s="44"/>
      <c r="L77" s="7" t="s">
        <v>359</v>
      </c>
      <c r="M77" s="44">
        <v>46066</v>
      </c>
      <c r="N77" s="62" t="s">
        <v>236</v>
      </c>
      <c r="O77" s="44">
        <v>29874</v>
      </c>
      <c r="Q77"/>
      <c r="R77"/>
      <c r="S77"/>
    </row>
    <row r="78" spans="1:19" x14ac:dyDescent="0.25">
      <c r="I78" s="10"/>
      <c r="P78" s="42"/>
      <c r="S78"/>
    </row>
    <row r="79" spans="1:19" x14ac:dyDescent="0.25">
      <c r="I79" s="10"/>
      <c r="J79" s="51" t="s">
        <v>369</v>
      </c>
      <c r="P79" s="42"/>
      <c r="S79"/>
    </row>
    <row r="80" spans="1:19" x14ac:dyDescent="0.25">
      <c r="I80" s="10"/>
      <c r="J80" s="36" t="s">
        <v>370</v>
      </c>
      <c r="P80" s="42"/>
      <c r="S80"/>
    </row>
    <row r="81" spans="1:19" x14ac:dyDescent="0.25">
      <c r="A81" s="7" t="s">
        <v>231</v>
      </c>
      <c r="B81" s="7" t="s">
        <v>232</v>
      </c>
      <c r="C81" s="7">
        <v>1</v>
      </c>
      <c r="D81" s="7" t="s">
        <v>371</v>
      </c>
      <c r="E81" s="37"/>
      <c r="F81" s="37"/>
      <c r="G81" s="37"/>
      <c r="H81" s="38">
        <f t="shared" ref="H81:H86" ca="1" si="6">((YEAR(TODAY())-YEAR(M81))*12+MONTH(TODAY())-MONTH(M81))/12</f>
        <v>4</v>
      </c>
      <c r="I81" s="39" t="s">
        <v>372</v>
      </c>
      <c r="J81" s="7" t="s">
        <v>205</v>
      </c>
      <c r="K81" s="44"/>
      <c r="L81" s="7" t="s">
        <v>373</v>
      </c>
      <c r="M81" s="41">
        <v>44739</v>
      </c>
      <c r="N81" s="7" t="s">
        <v>236</v>
      </c>
      <c r="O81" s="41">
        <v>32189</v>
      </c>
      <c r="P81" s="42"/>
      <c r="R81">
        <f>VLOOKUP(D78,'[1]0524'!$B$3:$B$125,1,0)</f>
        <v>0</v>
      </c>
      <c r="S81"/>
    </row>
    <row r="82" spans="1:19" x14ac:dyDescent="0.25">
      <c r="A82" s="7" t="s">
        <v>231</v>
      </c>
      <c r="B82" s="7" t="s">
        <v>232</v>
      </c>
      <c r="C82" s="7">
        <v>2</v>
      </c>
      <c r="D82" s="7" t="s">
        <v>374</v>
      </c>
      <c r="E82" s="37"/>
      <c r="F82" s="37"/>
      <c r="G82" s="37"/>
      <c r="H82" s="38">
        <f t="shared" ca="1" si="6"/>
        <v>3.3333333333333335</v>
      </c>
      <c r="I82" s="52" t="s">
        <v>375</v>
      </c>
      <c r="J82" s="7" t="s">
        <v>203</v>
      </c>
      <c r="K82" s="44"/>
      <c r="L82" s="7" t="s">
        <v>373</v>
      </c>
      <c r="M82" s="41">
        <v>44979</v>
      </c>
      <c r="N82" s="7" t="s">
        <v>236</v>
      </c>
      <c r="O82" s="41">
        <v>34936</v>
      </c>
      <c r="P82" s="42"/>
      <c r="R82">
        <f>VLOOKUP(D79,'[1]0524'!$B$3:$B$125,1,0)</f>
        <v>0</v>
      </c>
      <c r="S82"/>
    </row>
    <row r="83" spans="1:19" x14ac:dyDescent="0.25">
      <c r="A83" s="7" t="s">
        <v>231</v>
      </c>
      <c r="B83" s="7" t="s">
        <v>232</v>
      </c>
      <c r="C83" s="7">
        <v>3</v>
      </c>
      <c r="D83" s="7" t="s">
        <v>209</v>
      </c>
      <c r="E83" s="37"/>
      <c r="F83" s="37"/>
      <c r="G83" s="37"/>
      <c r="H83" s="38">
        <f t="shared" ca="1" si="6"/>
        <v>2.9166666666666665</v>
      </c>
      <c r="I83" s="52" t="s">
        <v>210</v>
      </c>
      <c r="J83" s="7" t="s">
        <v>376</v>
      </c>
      <c r="K83" s="44"/>
      <c r="L83" s="7" t="s">
        <v>377</v>
      </c>
      <c r="M83" s="53">
        <v>45124</v>
      </c>
      <c r="N83" s="7" t="s">
        <v>236</v>
      </c>
      <c r="O83" s="41">
        <v>31212</v>
      </c>
      <c r="P83" s="42"/>
      <c r="R83">
        <f>VLOOKUP(D80,'[1]0524'!$B$3:$B$125,1,0)</f>
        <v>0</v>
      </c>
      <c r="S83"/>
    </row>
    <row r="84" spans="1:19" s="42" customFormat="1" x14ac:dyDescent="0.25">
      <c r="A84" s="7" t="s">
        <v>231</v>
      </c>
      <c r="B84" s="7" t="s">
        <v>232</v>
      </c>
      <c r="C84" s="7">
        <v>4</v>
      </c>
      <c r="D84" s="62" t="s">
        <v>378</v>
      </c>
      <c r="E84" s="37"/>
      <c r="F84" s="37"/>
      <c r="G84" s="37"/>
      <c r="H84" s="38">
        <f t="shared" ca="1" si="6"/>
        <v>3.5</v>
      </c>
      <c r="I84" s="63" t="s">
        <v>379</v>
      </c>
      <c r="J84" s="62" t="s">
        <v>207</v>
      </c>
      <c r="K84" s="44"/>
      <c r="L84" s="7" t="s">
        <v>373</v>
      </c>
      <c r="M84" s="64">
        <v>44902</v>
      </c>
      <c r="N84" s="62" t="s">
        <v>236</v>
      </c>
      <c r="O84" s="64">
        <v>29785</v>
      </c>
      <c r="Q84"/>
      <c r="R84" t="e">
        <f>VLOOKUP(D82,'[1]0524'!$B$3:$B$125,1,0)</f>
        <v>#N/A</v>
      </c>
      <c r="S84"/>
    </row>
    <row r="85" spans="1:19" s="42" customFormat="1" x14ac:dyDescent="0.25">
      <c r="A85" s="7" t="s">
        <v>231</v>
      </c>
      <c r="B85" s="7" t="s">
        <v>232</v>
      </c>
      <c r="C85" s="7">
        <v>5</v>
      </c>
      <c r="D85" s="62" t="s">
        <v>380</v>
      </c>
      <c r="E85" s="37"/>
      <c r="F85" s="37"/>
      <c r="G85" s="37"/>
      <c r="H85" s="38">
        <f t="shared" ca="1" si="6"/>
        <v>0.83333333333333337</v>
      </c>
      <c r="I85" s="63" t="s">
        <v>381</v>
      </c>
      <c r="J85" s="62" t="s">
        <v>198</v>
      </c>
      <c r="K85" s="44"/>
      <c r="L85" s="7" t="s">
        <v>373</v>
      </c>
      <c r="M85" s="44">
        <v>45894</v>
      </c>
      <c r="N85" s="62" t="s">
        <v>236</v>
      </c>
      <c r="O85" s="44">
        <v>32737</v>
      </c>
      <c r="Q85"/>
      <c r="R85"/>
      <c r="S85"/>
    </row>
    <row r="86" spans="1:19" s="42" customFormat="1" x14ac:dyDescent="0.25">
      <c r="A86" s="7" t="s">
        <v>231</v>
      </c>
      <c r="B86" s="7" t="s">
        <v>232</v>
      </c>
      <c r="C86" s="7">
        <v>6</v>
      </c>
      <c r="D86" s="61" t="s">
        <v>200</v>
      </c>
      <c r="E86" s="37"/>
      <c r="F86" s="37"/>
      <c r="G86" s="37"/>
      <c r="H86" s="38">
        <f t="shared" ca="1" si="6"/>
        <v>0.33333333333333331</v>
      </c>
      <c r="I86" s="43" t="s">
        <v>201</v>
      </c>
      <c r="J86" s="62" t="s">
        <v>382</v>
      </c>
      <c r="K86" s="44"/>
      <c r="L86" s="7" t="s">
        <v>373</v>
      </c>
      <c r="M86" s="44">
        <v>46065</v>
      </c>
      <c r="N86" s="62" t="s">
        <v>236</v>
      </c>
      <c r="O86" s="44">
        <v>27845</v>
      </c>
      <c r="Q86"/>
      <c r="R86"/>
      <c r="S86"/>
    </row>
    <row r="87" spans="1:19" x14ac:dyDescent="0.25">
      <c r="I87" s="10"/>
      <c r="J87" s="65"/>
      <c r="P87" s="42"/>
    </row>
    <row r="88" spans="1:19" x14ac:dyDescent="0.25">
      <c r="I88" s="10"/>
      <c r="J88" s="51" t="s">
        <v>383</v>
      </c>
      <c r="P88" s="42"/>
      <c r="S88"/>
    </row>
    <row r="89" spans="1:19" x14ac:dyDescent="0.25">
      <c r="I89" s="10"/>
      <c r="J89" s="36" t="s">
        <v>384</v>
      </c>
      <c r="P89" s="42"/>
      <c r="S89"/>
    </row>
    <row r="90" spans="1:19" s="42" customFormat="1" x14ac:dyDescent="0.25">
      <c r="A90" s="7" t="s">
        <v>231</v>
      </c>
      <c r="B90" s="7" t="s">
        <v>232</v>
      </c>
      <c r="C90" s="62">
        <v>1</v>
      </c>
      <c r="D90" s="62" t="s">
        <v>385</v>
      </c>
      <c r="E90" s="37"/>
      <c r="F90" s="37"/>
      <c r="G90" s="37"/>
      <c r="H90" s="38">
        <f ca="1">((YEAR(TODAY())-YEAR(M90))*12+MONTH(TODAY())-MONTH(M90))/12</f>
        <v>4.666666666666667</v>
      </c>
      <c r="I90" s="66">
        <v>8691144780</v>
      </c>
      <c r="J90" s="62" t="s">
        <v>144</v>
      </c>
      <c r="K90" s="44"/>
      <c r="L90" s="62" t="s">
        <v>386</v>
      </c>
      <c r="M90" s="64">
        <v>44496</v>
      </c>
      <c r="N90" s="62" t="s">
        <v>236</v>
      </c>
      <c r="O90" s="64">
        <v>33029</v>
      </c>
      <c r="Q90"/>
      <c r="R90">
        <f>VLOOKUP(D87,'[1]0524'!$B$3:$B$125,1,0)</f>
        <v>0</v>
      </c>
      <c r="S90"/>
    </row>
    <row r="91" spans="1:19" x14ac:dyDescent="0.25">
      <c r="A91" s="7" t="s">
        <v>231</v>
      </c>
      <c r="B91" s="7" t="s">
        <v>232</v>
      </c>
      <c r="C91" s="62">
        <v>2</v>
      </c>
      <c r="D91" s="62" t="s">
        <v>387</v>
      </c>
      <c r="E91" s="37"/>
      <c r="F91" s="37"/>
      <c r="G91" s="37"/>
      <c r="H91" s="38">
        <f ca="1">((YEAR(TODAY())-YEAR(M91))*12+MONTH(TODAY())-MONTH(M91))/12</f>
        <v>3.5</v>
      </c>
      <c r="I91" s="63" t="s">
        <v>388</v>
      </c>
      <c r="J91" s="62" t="s">
        <v>148</v>
      </c>
      <c r="K91" s="44">
        <v>46146</v>
      </c>
      <c r="L91" s="62" t="s">
        <v>386</v>
      </c>
      <c r="M91" s="64">
        <v>44903</v>
      </c>
      <c r="N91" s="62" t="s">
        <v>236</v>
      </c>
      <c r="O91" s="64">
        <v>32542</v>
      </c>
      <c r="P91" s="42" t="s">
        <v>296</v>
      </c>
      <c r="R91">
        <f>VLOOKUP(D88,'[1]0524'!$B$3:$B$125,1,0)</f>
        <v>0</v>
      </c>
      <c r="S91"/>
    </row>
    <row r="92" spans="1:19" x14ac:dyDescent="0.25">
      <c r="A92" s="7" t="s">
        <v>231</v>
      </c>
      <c r="B92" s="7" t="s">
        <v>232</v>
      </c>
      <c r="C92" s="62">
        <v>3</v>
      </c>
      <c r="D92" s="7" t="s">
        <v>389</v>
      </c>
      <c r="E92" s="37"/>
      <c r="F92" s="37"/>
      <c r="G92" s="37"/>
      <c r="H92" s="38">
        <f ca="1">((YEAR(TODAY())-YEAR(M92))*12+MONTH(TODAY())-MONTH(M92))/12</f>
        <v>0.66666666666666663</v>
      </c>
      <c r="I92" s="43" t="s">
        <v>390</v>
      </c>
      <c r="J92" s="6" t="s">
        <v>150</v>
      </c>
      <c r="K92" s="40"/>
      <c r="L92" s="7" t="s">
        <v>386</v>
      </c>
      <c r="M92" s="53">
        <v>45944</v>
      </c>
      <c r="N92" s="7" t="s">
        <v>236</v>
      </c>
      <c r="O92" s="41">
        <v>32663</v>
      </c>
      <c r="P92" s="42"/>
      <c r="S92"/>
    </row>
    <row r="93" spans="1:19" x14ac:dyDescent="0.25">
      <c r="A93" s="7" t="s">
        <v>231</v>
      </c>
      <c r="B93" s="7" t="s">
        <v>232</v>
      </c>
      <c r="C93" s="62">
        <v>4</v>
      </c>
      <c r="D93" s="4" t="s">
        <v>391</v>
      </c>
      <c r="E93" s="37"/>
      <c r="F93" s="37"/>
      <c r="G93" s="37"/>
      <c r="H93" s="38">
        <f ca="1">((YEAR(TODAY())-YEAR(M93))*12+MONTH(TODAY())-MONTH(M93))/12</f>
        <v>0.5</v>
      </c>
      <c r="I93" s="5" t="s">
        <v>392</v>
      </c>
      <c r="J93" s="6" t="s">
        <v>146</v>
      </c>
      <c r="K93" s="40">
        <v>46136</v>
      </c>
      <c r="L93" s="7" t="s">
        <v>386</v>
      </c>
      <c r="M93" s="44">
        <v>46021</v>
      </c>
      <c r="N93" s="7" t="s">
        <v>236</v>
      </c>
      <c r="O93" s="44">
        <v>31105</v>
      </c>
      <c r="P93" s="42" t="s">
        <v>296</v>
      </c>
      <c r="S93"/>
    </row>
    <row r="94" spans="1:19" x14ac:dyDescent="0.25">
      <c r="I94" s="10"/>
      <c r="P94" s="42"/>
      <c r="S94"/>
    </row>
    <row r="95" spans="1:19" x14ac:dyDescent="0.25">
      <c r="I95" s="10"/>
      <c r="J95" s="51" t="s">
        <v>393</v>
      </c>
      <c r="P95" s="42"/>
      <c r="S95"/>
    </row>
    <row r="96" spans="1:19" x14ac:dyDescent="0.25">
      <c r="I96" s="10"/>
      <c r="J96" s="36" t="s">
        <v>394</v>
      </c>
      <c r="P96" s="42"/>
      <c r="S96" s="58"/>
    </row>
    <row r="97" spans="1:19" x14ac:dyDescent="0.25">
      <c r="A97" s="7" t="s">
        <v>231</v>
      </c>
      <c r="B97" s="7" t="s">
        <v>232</v>
      </c>
      <c r="C97" s="7">
        <v>1</v>
      </c>
      <c r="D97" s="7" t="s">
        <v>395</v>
      </c>
      <c r="E97" s="37"/>
      <c r="F97" s="37"/>
      <c r="G97" s="37"/>
      <c r="H97" s="38">
        <f t="shared" ref="H97:H102" ca="1" si="7">((YEAR(TODAY())-YEAR(M97))*12+MONTH(TODAY())-MONTH(M97))/12</f>
        <v>7.75</v>
      </c>
      <c r="I97" s="39" t="s">
        <v>396</v>
      </c>
      <c r="J97" s="7" t="s">
        <v>79</v>
      </c>
      <c r="K97" s="40"/>
      <c r="L97" s="7" t="s">
        <v>397</v>
      </c>
      <c r="M97" s="41">
        <v>43349</v>
      </c>
      <c r="N97" s="7" t="s">
        <v>398</v>
      </c>
      <c r="O97" s="41">
        <v>31517</v>
      </c>
      <c r="P97" s="42"/>
      <c r="R97" t="e">
        <f>VLOOKUP(#REF!,'[1]0524'!$B$3:$B$125,1,0)</f>
        <v>#REF!</v>
      </c>
      <c r="S97"/>
    </row>
    <row r="98" spans="1:19" x14ac:dyDescent="0.25">
      <c r="A98" s="7" t="s">
        <v>231</v>
      </c>
      <c r="B98" s="7" t="s">
        <v>232</v>
      </c>
      <c r="C98" s="7">
        <v>2</v>
      </c>
      <c r="D98" s="7" t="s">
        <v>399</v>
      </c>
      <c r="E98" s="37"/>
      <c r="F98" s="37"/>
      <c r="G98" s="37"/>
      <c r="H98" s="38">
        <f t="shared" ca="1" si="7"/>
        <v>5.583333333333333</v>
      </c>
      <c r="I98" s="39">
        <v>3780397925</v>
      </c>
      <c r="J98" s="7" t="s">
        <v>75</v>
      </c>
      <c r="K98" s="40"/>
      <c r="L98" s="7" t="s">
        <v>397</v>
      </c>
      <c r="M98" s="41">
        <v>44137</v>
      </c>
      <c r="N98" s="7" t="s">
        <v>236</v>
      </c>
      <c r="O98" s="41">
        <v>31589</v>
      </c>
      <c r="P98" s="42"/>
      <c r="R98">
        <f>VLOOKUP(D94,'[1]0524'!$B$3:$B$125,1,0)</f>
        <v>0</v>
      </c>
      <c r="S98"/>
    </row>
    <row r="99" spans="1:19" x14ac:dyDescent="0.25">
      <c r="A99" s="7" t="s">
        <v>231</v>
      </c>
      <c r="B99" s="7" t="s">
        <v>232</v>
      </c>
      <c r="C99" s="7">
        <v>3</v>
      </c>
      <c r="D99" s="7" t="s">
        <v>400</v>
      </c>
      <c r="E99" s="37"/>
      <c r="F99" s="37"/>
      <c r="G99" s="37"/>
      <c r="H99" s="38">
        <f t="shared" ca="1" si="7"/>
        <v>4.5</v>
      </c>
      <c r="I99" s="39">
        <v>1092167482</v>
      </c>
      <c r="J99" s="7" t="s">
        <v>169</v>
      </c>
      <c r="K99" s="40">
        <v>46113</v>
      </c>
      <c r="L99" s="7" t="s">
        <v>401</v>
      </c>
      <c r="M99" s="41">
        <v>44538</v>
      </c>
      <c r="N99" s="7" t="s">
        <v>236</v>
      </c>
      <c r="O99" s="41">
        <v>31664</v>
      </c>
      <c r="P99" s="42"/>
      <c r="R99">
        <f>VLOOKUP(D95,'[1]0524'!$B$3:$B$125,1,0)</f>
        <v>0</v>
      </c>
      <c r="S99"/>
    </row>
    <row r="100" spans="1:19" x14ac:dyDescent="0.25">
      <c r="A100" s="7" t="s">
        <v>231</v>
      </c>
      <c r="B100" s="7" t="s">
        <v>232</v>
      </c>
      <c r="C100" s="7">
        <v>4</v>
      </c>
      <c r="D100" s="7" t="s">
        <v>402</v>
      </c>
      <c r="E100" s="37"/>
      <c r="F100" s="37"/>
      <c r="G100" s="37"/>
      <c r="H100" s="38">
        <f t="shared" ca="1" si="7"/>
        <v>3</v>
      </c>
      <c r="I100" s="52" t="s">
        <v>403</v>
      </c>
      <c r="J100" s="7" t="s">
        <v>121</v>
      </c>
      <c r="K100" s="40"/>
      <c r="L100" s="7" t="s">
        <v>404</v>
      </c>
      <c r="M100" s="53">
        <v>45104</v>
      </c>
      <c r="N100" s="7" t="s">
        <v>236</v>
      </c>
      <c r="O100" s="41">
        <v>30888</v>
      </c>
      <c r="P100" s="42"/>
      <c r="R100">
        <f>VLOOKUP(D96,'[1]0524'!$B$3:$B$125,1,0)</f>
        <v>0</v>
      </c>
      <c r="S100"/>
    </row>
    <row r="101" spans="1:19" x14ac:dyDescent="0.25">
      <c r="A101" s="7" t="s">
        <v>231</v>
      </c>
      <c r="B101" s="7" t="s">
        <v>232</v>
      </c>
      <c r="C101" s="7">
        <v>5</v>
      </c>
      <c r="D101" s="7" t="s">
        <v>405</v>
      </c>
      <c r="E101" s="37"/>
      <c r="F101" s="37"/>
      <c r="G101" s="37"/>
      <c r="H101" s="38">
        <f t="shared" ca="1" si="7"/>
        <v>1.5</v>
      </c>
      <c r="I101" s="43" t="s">
        <v>406</v>
      </c>
      <c r="J101" s="6" t="s">
        <v>22</v>
      </c>
      <c r="K101" s="40"/>
      <c r="L101" s="7" t="s">
        <v>407</v>
      </c>
      <c r="M101" s="53">
        <v>45649</v>
      </c>
      <c r="N101" s="7" t="s">
        <v>398</v>
      </c>
      <c r="O101" s="41">
        <v>33135</v>
      </c>
      <c r="P101"/>
      <c r="S101"/>
    </row>
    <row r="102" spans="1:19" x14ac:dyDescent="0.25">
      <c r="A102" s="7" t="s">
        <v>231</v>
      </c>
      <c r="B102" s="7" t="s">
        <v>232</v>
      </c>
      <c r="C102" s="7">
        <v>6</v>
      </c>
      <c r="D102" s="7" t="s">
        <v>408</v>
      </c>
      <c r="E102" s="37"/>
      <c r="F102" s="37"/>
      <c r="G102" s="37"/>
      <c r="H102" s="38">
        <f t="shared" ca="1" si="7"/>
        <v>0.83333333333333337</v>
      </c>
      <c r="I102" s="43" t="s">
        <v>409</v>
      </c>
      <c r="J102" s="6" t="s">
        <v>77</v>
      </c>
      <c r="K102" s="40">
        <v>46150</v>
      </c>
      <c r="L102" s="7" t="s">
        <v>397</v>
      </c>
      <c r="M102" s="53">
        <v>45894</v>
      </c>
      <c r="N102" s="7" t="s">
        <v>236</v>
      </c>
      <c r="O102" s="44">
        <v>32300</v>
      </c>
      <c r="P102" s="42"/>
      <c r="S102"/>
    </row>
    <row r="103" spans="1:19" x14ac:dyDescent="0.25">
      <c r="I103" s="10"/>
      <c r="P103" s="42"/>
      <c r="S103" s="58"/>
    </row>
    <row r="104" spans="1:19" x14ac:dyDescent="0.25">
      <c r="A104" s="30"/>
      <c r="B104" s="30"/>
      <c r="C104" s="30"/>
      <c r="D104" s="30"/>
      <c r="E104" s="31"/>
      <c r="F104" s="31"/>
      <c r="G104" s="31"/>
      <c r="H104" s="30"/>
      <c r="I104" s="30"/>
      <c r="J104" s="30" t="s">
        <v>410</v>
      </c>
      <c r="K104" s="32"/>
      <c r="L104" s="33"/>
      <c r="M104" s="34"/>
      <c r="N104" s="33"/>
      <c r="O104" s="34"/>
      <c r="P104" s="42"/>
      <c r="S104"/>
    </row>
    <row r="105" spans="1:19" x14ac:dyDescent="0.25">
      <c r="I105" s="10"/>
      <c r="J105" s="30" t="s">
        <v>411</v>
      </c>
      <c r="P105" s="42"/>
      <c r="S105" s="58"/>
    </row>
    <row r="106" spans="1:19" x14ac:dyDescent="0.25">
      <c r="I106" s="10"/>
      <c r="J106" s="36" t="s">
        <v>412</v>
      </c>
      <c r="P106" s="42"/>
      <c r="S106" s="58"/>
    </row>
    <row r="107" spans="1:19" x14ac:dyDescent="0.25">
      <c r="A107" s="7" t="s">
        <v>231</v>
      </c>
      <c r="B107" s="7" t="s">
        <v>232</v>
      </c>
      <c r="C107" s="7">
        <v>1</v>
      </c>
      <c r="D107" s="7" t="s">
        <v>413</v>
      </c>
      <c r="E107" s="37"/>
      <c r="F107" s="37"/>
      <c r="G107" s="37"/>
      <c r="H107" s="38">
        <f t="shared" ref="H107:H114" ca="1" si="8">((YEAR(TODAY())-YEAR(M107))*12+MONTH(TODAY())-MONTH(M107))/12</f>
        <v>4.166666666666667</v>
      </c>
      <c r="I107" s="39">
        <v>8180379941</v>
      </c>
      <c r="J107" s="7" t="s">
        <v>414</v>
      </c>
      <c r="K107" s="40"/>
      <c r="L107" s="7" t="s">
        <v>415</v>
      </c>
      <c r="M107" s="41">
        <v>44669</v>
      </c>
      <c r="N107" s="7" t="s">
        <v>236</v>
      </c>
      <c r="O107" s="41">
        <v>28678</v>
      </c>
      <c r="P107" s="42"/>
      <c r="R107" s="10"/>
      <c r="S107" s="58"/>
    </row>
    <row r="108" spans="1:19" x14ac:dyDescent="0.25">
      <c r="A108" s="7" t="s">
        <v>231</v>
      </c>
      <c r="B108" s="7" t="s">
        <v>232</v>
      </c>
      <c r="C108" s="7">
        <v>2</v>
      </c>
      <c r="D108" s="7" t="s">
        <v>416</v>
      </c>
      <c r="E108" s="37"/>
      <c r="F108" s="37"/>
      <c r="G108" s="37"/>
      <c r="H108" s="38">
        <f t="shared" ca="1" si="8"/>
        <v>4.5</v>
      </c>
      <c r="I108" s="39">
        <v>8180224085</v>
      </c>
      <c r="J108" s="7" t="s">
        <v>417</v>
      </c>
      <c r="K108" s="40"/>
      <c r="L108" s="7" t="s">
        <v>418</v>
      </c>
      <c r="M108" s="41">
        <v>44536</v>
      </c>
      <c r="N108" s="7" t="s">
        <v>236</v>
      </c>
      <c r="O108" s="41">
        <v>35737</v>
      </c>
      <c r="P108" s="42"/>
      <c r="R108">
        <f>VLOOKUP(D104,'[1]0524'!$B$3:$B$125,1,0)</f>
        <v>0</v>
      </c>
      <c r="S108"/>
    </row>
    <row r="109" spans="1:19" x14ac:dyDescent="0.25">
      <c r="A109" s="7" t="s">
        <v>231</v>
      </c>
      <c r="B109" s="7" t="s">
        <v>232</v>
      </c>
      <c r="C109" s="7">
        <v>3</v>
      </c>
      <c r="D109" s="7" t="s">
        <v>419</v>
      </c>
      <c r="E109" s="37"/>
      <c r="F109" s="37"/>
      <c r="G109" s="37"/>
      <c r="H109" s="38">
        <f t="shared" ca="1" si="8"/>
        <v>4.25</v>
      </c>
      <c r="I109" s="39">
        <v>8180374729</v>
      </c>
      <c r="J109" s="7" t="s">
        <v>420</v>
      </c>
      <c r="K109" s="40"/>
      <c r="L109" s="7" t="s">
        <v>421</v>
      </c>
      <c r="M109" s="41">
        <v>44645</v>
      </c>
      <c r="N109" s="7" t="s">
        <v>236</v>
      </c>
      <c r="O109" s="41">
        <v>33527</v>
      </c>
      <c r="P109" s="42"/>
      <c r="R109">
        <f>VLOOKUP(D105,'[1]0524'!$B$3:$B$125,1,0)</f>
        <v>0</v>
      </c>
      <c r="S109"/>
    </row>
    <row r="110" spans="1:19" x14ac:dyDescent="0.25">
      <c r="A110" s="7" t="s">
        <v>231</v>
      </c>
      <c r="B110" s="7" t="s">
        <v>232</v>
      </c>
      <c r="C110" s="7">
        <v>4</v>
      </c>
      <c r="D110" s="7" t="s">
        <v>422</v>
      </c>
      <c r="E110" s="37"/>
      <c r="F110" s="37"/>
      <c r="G110" s="37"/>
      <c r="H110" s="38">
        <f t="shared" ca="1" si="8"/>
        <v>3.4166666666666665</v>
      </c>
      <c r="I110" s="52" t="s">
        <v>423</v>
      </c>
      <c r="J110" s="7" t="s">
        <v>424</v>
      </c>
      <c r="K110" s="40"/>
      <c r="L110" s="7" t="s">
        <v>418</v>
      </c>
      <c r="M110" s="41">
        <v>44951</v>
      </c>
      <c r="N110" s="7" t="s">
        <v>236</v>
      </c>
      <c r="O110" s="41">
        <v>34993</v>
      </c>
      <c r="P110" s="42"/>
      <c r="R110">
        <f>VLOOKUP(D106,'[1]0524'!$B$3:$B$125,1,0)</f>
        <v>0</v>
      </c>
      <c r="S110"/>
    </row>
    <row r="111" spans="1:19" x14ac:dyDescent="0.25">
      <c r="A111" s="7" t="s">
        <v>231</v>
      </c>
      <c r="B111" s="7" t="s">
        <v>232</v>
      </c>
      <c r="C111" s="7">
        <v>5</v>
      </c>
      <c r="D111" s="59" t="s">
        <v>425</v>
      </c>
      <c r="E111" s="37"/>
      <c r="F111" s="37"/>
      <c r="G111" s="37"/>
      <c r="H111" s="38">
        <f t="shared" ca="1" si="8"/>
        <v>1.9166666666666667</v>
      </c>
      <c r="I111" s="52">
        <v>8180505475</v>
      </c>
      <c r="J111" s="6" t="s">
        <v>426</v>
      </c>
      <c r="K111" s="40"/>
      <c r="L111" s="7" t="s">
        <v>418</v>
      </c>
      <c r="M111" s="53">
        <v>45502</v>
      </c>
      <c r="N111" s="7" t="s">
        <v>236</v>
      </c>
      <c r="O111" s="41">
        <v>36048</v>
      </c>
      <c r="P111" s="42"/>
      <c r="S111"/>
    </row>
    <row r="112" spans="1:19" x14ac:dyDescent="0.25">
      <c r="A112" s="7" t="s">
        <v>231</v>
      </c>
      <c r="B112" s="7" t="s">
        <v>232</v>
      </c>
      <c r="C112" s="7">
        <v>6</v>
      </c>
      <c r="D112" s="59" t="s">
        <v>427</v>
      </c>
      <c r="E112" s="37"/>
      <c r="F112" s="37"/>
      <c r="G112" s="37"/>
      <c r="H112" s="38">
        <f t="shared" ca="1" si="8"/>
        <v>1.5</v>
      </c>
      <c r="I112" s="52" t="s">
        <v>428</v>
      </c>
      <c r="J112" s="6" t="s">
        <v>429</v>
      </c>
      <c r="K112" s="40"/>
      <c r="L112" s="7" t="s">
        <v>418</v>
      </c>
      <c r="M112" s="53">
        <v>45643</v>
      </c>
      <c r="N112" s="7" t="s">
        <v>236</v>
      </c>
      <c r="O112" s="41">
        <v>35318</v>
      </c>
      <c r="P112" s="42"/>
      <c r="S112"/>
    </row>
    <row r="113" spans="1:19" x14ac:dyDescent="0.25">
      <c r="A113" s="7" t="s">
        <v>231</v>
      </c>
      <c r="B113" s="7" t="s">
        <v>232</v>
      </c>
      <c r="C113" s="7">
        <v>7</v>
      </c>
      <c r="D113" s="59" t="s">
        <v>430</v>
      </c>
      <c r="E113" s="37"/>
      <c r="F113" s="37"/>
      <c r="G113" s="37"/>
      <c r="H113" s="38">
        <f t="shared" ca="1" si="8"/>
        <v>1.3333333333333333</v>
      </c>
      <c r="I113" s="52" t="s">
        <v>431</v>
      </c>
      <c r="J113" s="6" t="s">
        <v>432</v>
      </c>
      <c r="K113" s="40"/>
      <c r="L113" s="7" t="s">
        <v>418</v>
      </c>
      <c r="M113" s="53">
        <v>45708</v>
      </c>
      <c r="N113" s="7" t="s">
        <v>236</v>
      </c>
      <c r="O113" s="41">
        <v>33310</v>
      </c>
      <c r="P113" s="42"/>
      <c r="S113"/>
    </row>
    <row r="114" spans="1:19" x14ac:dyDescent="0.25">
      <c r="A114" s="7" t="s">
        <v>231</v>
      </c>
      <c r="B114" s="7" t="s">
        <v>232</v>
      </c>
      <c r="C114" s="7">
        <v>8</v>
      </c>
      <c r="D114" s="59" t="s">
        <v>433</v>
      </c>
      <c r="E114" s="37"/>
      <c r="F114" s="37"/>
      <c r="G114" s="37"/>
      <c r="H114" s="38">
        <f t="shared" ca="1" si="8"/>
        <v>0.91666666666666663</v>
      </c>
      <c r="I114" s="52">
        <v>373802651</v>
      </c>
      <c r="J114" s="6" t="s">
        <v>434</v>
      </c>
      <c r="K114" s="40"/>
      <c r="L114" s="7" t="s">
        <v>418</v>
      </c>
      <c r="M114" s="53">
        <v>45845</v>
      </c>
      <c r="N114" s="7" t="s">
        <v>236</v>
      </c>
      <c r="O114" s="41">
        <v>33109</v>
      </c>
      <c r="P114" s="42"/>
      <c r="S114"/>
    </row>
    <row r="115" spans="1:19" x14ac:dyDescent="0.25">
      <c r="I115" s="10"/>
      <c r="P115" s="42"/>
      <c r="R115" s="10"/>
      <c r="S115" s="58"/>
    </row>
    <row r="116" spans="1:19" x14ac:dyDescent="0.25">
      <c r="I116" s="10"/>
      <c r="J116" s="30" t="s">
        <v>435</v>
      </c>
      <c r="P116" s="42"/>
      <c r="R116" s="10"/>
      <c r="S116" s="58"/>
    </row>
    <row r="117" spans="1:19" x14ac:dyDescent="0.25">
      <c r="I117" s="10"/>
      <c r="J117" s="36" t="s">
        <v>436</v>
      </c>
      <c r="P117" s="42"/>
      <c r="R117" s="10"/>
      <c r="S117" s="58"/>
    </row>
    <row r="118" spans="1:19" x14ac:dyDescent="0.25">
      <c r="A118" s="7" t="s">
        <v>231</v>
      </c>
      <c r="B118" s="7" t="s">
        <v>232</v>
      </c>
      <c r="C118" s="7">
        <v>1</v>
      </c>
      <c r="D118" s="7" t="s">
        <v>437</v>
      </c>
      <c r="E118" s="37"/>
      <c r="F118" s="37"/>
      <c r="G118" s="37"/>
      <c r="H118" s="38">
        <f ca="1">((YEAR(TODAY())-YEAR(M118))*12+MONTH(TODAY())-MONTH(M118))/12</f>
        <v>5.916666666666667</v>
      </c>
      <c r="I118" s="39">
        <v>4380053131</v>
      </c>
      <c r="J118" s="7" t="s">
        <v>438</v>
      </c>
      <c r="K118" s="40"/>
      <c r="L118" s="7" t="s">
        <v>439</v>
      </c>
      <c r="M118" s="41">
        <v>44034</v>
      </c>
      <c r="N118" s="7" t="s">
        <v>236</v>
      </c>
      <c r="O118" s="41">
        <v>32802</v>
      </c>
      <c r="P118" s="42"/>
      <c r="R118" t="e">
        <f>VLOOKUP(D114,'[1]0524'!$B$3:$B$125,1,0)</f>
        <v>#N/A</v>
      </c>
      <c r="S118"/>
    </row>
    <row r="119" spans="1:19" x14ac:dyDescent="0.25">
      <c r="A119" s="7" t="s">
        <v>231</v>
      </c>
      <c r="B119" s="7" t="s">
        <v>232</v>
      </c>
      <c r="C119" s="7">
        <v>2</v>
      </c>
      <c r="D119" s="7" t="s">
        <v>440</v>
      </c>
      <c r="E119" s="37"/>
      <c r="F119" s="37"/>
      <c r="G119" s="37"/>
      <c r="H119" s="38">
        <f ca="1">((YEAR(TODAY())-YEAR(M119))*12+MONTH(TODAY())-MONTH(M119))/12</f>
        <v>1</v>
      </c>
      <c r="I119" s="39" t="s">
        <v>441</v>
      </c>
      <c r="J119" s="7" t="s">
        <v>126</v>
      </c>
      <c r="K119" s="40"/>
      <c r="L119" s="7" t="s">
        <v>442</v>
      </c>
      <c r="M119" s="41">
        <v>45824</v>
      </c>
      <c r="N119" s="7" t="s">
        <v>236</v>
      </c>
      <c r="O119" s="41">
        <v>34617</v>
      </c>
      <c r="P119" s="42"/>
      <c r="S119"/>
    </row>
    <row r="120" spans="1:19" x14ac:dyDescent="0.25">
      <c r="A120" s="7" t="s">
        <v>231</v>
      </c>
      <c r="B120" s="7" t="s">
        <v>232</v>
      </c>
      <c r="C120" s="7">
        <v>3</v>
      </c>
      <c r="D120" s="7" t="s">
        <v>443</v>
      </c>
      <c r="E120" s="37"/>
      <c r="F120" s="37"/>
      <c r="G120" s="37"/>
      <c r="H120" s="38">
        <f ca="1">((YEAR(TODAY())-YEAR(M120))*12+MONTH(TODAY())-MONTH(M120))/12</f>
        <v>0.91666666666666663</v>
      </c>
      <c r="I120" s="39" t="s">
        <v>444</v>
      </c>
      <c r="J120" s="7" t="s">
        <v>123</v>
      </c>
      <c r="K120" s="40"/>
      <c r="L120" s="7" t="s">
        <v>442</v>
      </c>
      <c r="M120" s="41">
        <v>45841</v>
      </c>
      <c r="N120" s="7" t="s">
        <v>236</v>
      </c>
      <c r="O120" s="41">
        <v>27769</v>
      </c>
      <c r="P120" s="42"/>
      <c r="S120"/>
    </row>
    <row r="121" spans="1:19" x14ac:dyDescent="0.25">
      <c r="A121" s="7" t="s">
        <v>231</v>
      </c>
      <c r="B121" s="7" t="s">
        <v>232</v>
      </c>
      <c r="C121" s="7">
        <v>4</v>
      </c>
      <c r="D121" s="7" t="s">
        <v>445</v>
      </c>
      <c r="E121" s="37"/>
      <c r="F121" s="37"/>
      <c r="G121" s="37"/>
      <c r="H121" s="38">
        <f ca="1">((YEAR(TODAY())-YEAR(M121))*12+MONTH(TODAY())-MONTH(M121))/12</f>
        <v>0.83333333333333337</v>
      </c>
      <c r="I121" s="43" t="s">
        <v>446</v>
      </c>
      <c r="J121" s="7" t="s">
        <v>129</v>
      </c>
      <c r="K121" s="40"/>
      <c r="L121" s="7" t="s">
        <v>442</v>
      </c>
      <c r="M121" s="41">
        <v>45873</v>
      </c>
      <c r="N121" s="7" t="s">
        <v>236</v>
      </c>
      <c r="O121" s="44">
        <v>31112</v>
      </c>
      <c r="P121" s="42"/>
      <c r="S121"/>
    </row>
    <row r="122" spans="1:19" x14ac:dyDescent="0.25">
      <c r="I122" s="10"/>
      <c r="P122" s="42"/>
      <c r="S122"/>
    </row>
    <row r="123" spans="1:19" x14ac:dyDescent="0.25">
      <c r="I123" s="10"/>
      <c r="J123" s="30" t="s">
        <v>447</v>
      </c>
      <c r="P123" s="42"/>
      <c r="R123" s="10"/>
      <c r="S123" s="58"/>
    </row>
    <row r="124" spans="1:19" x14ac:dyDescent="0.25">
      <c r="I124" s="10"/>
      <c r="J124" s="36" t="s">
        <v>448</v>
      </c>
      <c r="P124" s="42"/>
      <c r="R124" s="10"/>
      <c r="S124" s="58"/>
    </row>
    <row r="125" spans="1:19" x14ac:dyDescent="0.25">
      <c r="A125" s="7" t="s">
        <v>231</v>
      </c>
      <c r="B125" s="7" t="s">
        <v>232</v>
      </c>
      <c r="C125" s="7">
        <v>1</v>
      </c>
      <c r="D125" s="7" t="s">
        <v>449</v>
      </c>
      <c r="E125" s="37"/>
      <c r="F125" s="37"/>
      <c r="G125" s="37"/>
      <c r="H125" s="38">
        <f t="shared" ref="H125:H131" ca="1" si="9">((YEAR(TODAY())-YEAR(M125))*12+MONTH(TODAY())-MONTH(M125))/12</f>
        <v>3.75</v>
      </c>
      <c r="I125" s="39">
        <v>3740904263</v>
      </c>
      <c r="J125" s="7" t="s">
        <v>450</v>
      </c>
      <c r="K125" s="40"/>
      <c r="L125" s="7" t="s">
        <v>451</v>
      </c>
      <c r="M125" s="41">
        <v>44816</v>
      </c>
      <c r="N125" s="7" t="s">
        <v>236</v>
      </c>
      <c r="O125" s="41">
        <v>35010</v>
      </c>
      <c r="P125" s="42"/>
      <c r="R125">
        <f>VLOOKUP(D103,'[1]0524'!$B$3:$B$125,1,0)</f>
        <v>0</v>
      </c>
      <c r="S125"/>
    </row>
    <row r="126" spans="1:19" x14ac:dyDescent="0.25">
      <c r="A126" s="67" t="s">
        <v>231</v>
      </c>
      <c r="B126" s="67" t="s">
        <v>232</v>
      </c>
      <c r="C126" s="7">
        <v>2</v>
      </c>
      <c r="D126" s="67" t="s">
        <v>452</v>
      </c>
      <c r="E126" s="68"/>
      <c r="F126" s="68"/>
      <c r="G126" s="68"/>
      <c r="H126" s="38">
        <f t="shared" ca="1" si="9"/>
        <v>2.0833333333333335</v>
      </c>
      <c r="I126" s="69" t="s">
        <v>453</v>
      </c>
      <c r="J126" s="70" t="s">
        <v>186</v>
      </c>
      <c r="K126" s="40"/>
      <c r="L126" s="67" t="s">
        <v>454</v>
      </c>
      <c r="M126" s="71">
        <v>45418</v>
      </c>
      <c r="N126" s="67" t="s">
        <v>236</v>
      </c>
      <c r="O126" s="72">
        <v>31779</v>
      </c>
      <c r="P126" s="42"/>
      <c r="R126" t="e">
        <f>VLOOKUP(#REF!,'[1]0524'!$B$3:$B$125,1,0)</f>
        <v>#REF!</v>
      </c>
      <c r="S126"/>
    </row>
    <row r="127" spans="1:19" x14ac:dyDescent="0.25">
      <c r="A127" s="7" t="s">
        <v>231</v>
      </c>
      <c r="B127" s="7" t="s">
        <v>232</v>
      </c>
      <c r="C127" s="7">
        <v>3</v>
      </c>
      <c r="D127" s="73" t="s">
        <v>455</v>
      </c>
      <c r="E127" s="37"/>
      <c r="F127" s="37"/>
      <c r="G127" s="37"/>
      <c r="H127" s="38">
        <f t="shared" ca="1" si="9"/>
        <v>1.9166666666666667</v>
      </c>
      <c r="I127" s="43">
        <v>1341470272</v>
      </c>
      <c r="J127" s="6" t="s">
        <v>177</v>
      </c>
      <c r="K127" s="40"/>
      <c r="L127" s="6" t="s">
        <v>454</v>
      </c>
      <c r="M127" s="53">
        <v>45502</v>
      </c>
      <c r="N127" s="7" t="s">
        <v>236</v>
      </c>
      <c r="O127" s="41">
        <v>34415</v>
      </c>
      <c r="P127" s="42"/>
      <c r="S127"/>
    </row>
    <row r="128" spans="1:19" x14ac:dyDescent="0.25">
      <c r="A128" s="67" t="s">
        <v>231</v>
      </c>
      <c r="B128" s="67" t="s">
        <v>232</v>
      </c>
      <c r="C128" s="7">
        <v>4</v>
      </c>
      <c r="D128" s="74" t="s">
        <v>456</v>
      </c>
      <c r="E128" s="68"/>
      <c r="F128" s="68"/>
      <c r="G128" s="68"/>
      <c r="H128" s="38">
        <f t="shared" ca="1" si="9"/>
        <v>1.8333333333333333</v>
      </c>
      <c r="I128" s="75">
        <v>1342870354</v>
      </c>
      <c r="J128" s="70" t="s">
        <v>171</v>
      </c>
      <c r="K128" s="40"/>
      <c r="L128" s="6" t="s">
        <v>454</v>
      </c>
      <c r="M128" s="72">
        <v>45509</v>
      </c>
      <c r="N128" s="67" t="s">
        <v>236</v>
      </c>
      <c r="O128" s="72">
        <v>30540</v>
      </c>
      <c r="P128" s="42"/>
      <c r="S128"/>
    </row>
    <row r="129" spans="1:19" x14ac:dyDescent="0.25">
      <c r="A129" s="7" t="s">
        <v>231</v>
      </c>
      <c r="B129" s="7" t="s">
        <v>232</v>
      </c>
      <c r="C129" s="7">
        <v>5</v>
      </c>
      <c r="D129" s="7" t="s">
        <v>457</v>
      </c>
      <c r="E129" s="37"/>
      <c r="F129" s="37"/>
      <c r="G129" s="37"/>
      <c r="H129" s="38">
        <f t="shared" ca="1" si="9"/>
        <v>3</v>
      </c>
      <c r="I129" s="52" t="s">
        <v>458</v>
      </c>
      <c r="J129" s="7" t="s">
        <v>174</v>
      </c>
      <c r="K129" s="40"/>
      <c r="L129" s="6" t="s">
        <v>454</v>
      </c>
      <c r="M129" s="53">
        <v>45079</v>
      </c>
      <c r="N129" s="7" t="s">
        <v>236</v>
      </c>
      <c r="O129" s="41">
        <v>34634</v>
      </c>
      <c r="P129" s="42"/>
      <c r="R129" t="str">
        <f>VLOOKUP(D125,'[1]0524'!$B$3:$B$125,1,0)</f>
        <v>PMC2209001</v>
      </c>
      <c r="S129"/>
    </row>
    <row r="130" spans="1:19" x14ac:dyDescent="0.25">
      <c r="A130" s="7" t="s">
        <v>231</v>
      </c>
      <c r="B130" s="7" t="s">
        <v>232</v>
      </c>
      <c r="C130" s="7">
        <v>6</v>
      </c>
      <c r="D130" s="7" t="s">
        <v>459</v>
      </c>
      <c r="E130" s="37"/>
      <c r="F130" s="37"/>
      <c r="G130" s="37"/>
      <c r="H130" s="38">
        <f t="shared" ca="1" si="9"/>
        <v>2.0833333333333335</v>
      </c>
      <c r="I130" s="52" t="s">
        <v>460</v>
      </c>
      <c r="J130" s="7" t="s">
        <v>180</v>
      </c>
      <c r="K130" s="40"/>
      <c r="L130" s="6" t="s">
        <v>454</v>
      </c>
      <c r="M130" s="53">
        <v>45419</v>
      </c>
      <c r="N130" s="7" t="s">
        <v>236</v>
      </c>
      <c r="O130" s="41">
        <v>30963</v>
      </c>
      <c r="P130" s="42"/>
      <c r="R130" t="e">
        <f>VLOOKUP(#REF!,'[1]0524'!$B$3:$B$125,1,0)</f>
        <v>#REF!</v>
      </c>
      <c r="S130"/>
    </row>
    <row r="131" spans="1:19" x14ac:dyDescent="0.25">
      <c r="A131" s="7" t="s">
        <v>231</v>
      </c>
      <c r="B131" s="7" t="s">
        <v>232</v>
      </c>
      <c r="C131" s="7">
        <v>7</v>
      </c>
      <c r="D131" s="7" t="s">
        <v>461</v>
      </c>
      <c r="E131" s="37"/>
      <c r="F131" s="37"/>
      <c r="G131" s="37"/>
      <c r="H131" s="38">
        <f t="shared" ca="1" si="9"/>
        <v>4.166666666666667</v>
      </c>
      <c r="I131" s="39">
        <v>8180355414</v>
      </c>
      <c r="J131" s="7" t="s">
        <v>183</v>
      </c>
      <c r="K131" s="40"/>
      <c r="L131" s="6" t="s">
        <v>454</v>
      </c>
      <c r="M131" s="41">
        <v>44655</v>
      </c>
      <c r="N131" s="7" t="s">
        <v>236</v>
      </c>
      <c r="O131" s="41">
        <v>35632</v>
      </c>
      <c r="P131" s="42"/>
      <c r="R131" t="e">
        <f>VLOOKUP(D127,'[1]0524'!$B$3:$B$125,1,0)</f>
        <v>#N/A</v>
      </c>
      <c r="S131"/>
    </row>
    <row r="132" spans="1:19" s="7" customFormat="1" x14ac:dyDescent="0.25">
      <c r="A132"/>
      <c r="B132"/>
      <c r="C132"/>
      <c r="D132"/>
      <c r="E132"/>
      <c r="F132"/>
      <c r="G132"/>
      <c r="H132"/>
      <c r="I132" s="10"/>
      <c r="J132"/>
      <c r="K132" s="10"/>
      <c r="L132"/>
      <c r="M132"/>
      <c r="N132"/>
      <c r="O132"/>
      <c r="P132" s="42"/>
      <c r="Q132" s="76"/>
    </row>
    <row r="133" spans="1:19" x14ac:dyDescent="0.25">
      <c r="A133" s="30"/>
      <c r="B133" s="30"/>
      <c r="C133" s="30"/>
      <c r="D133" s="30"/>
      <c r="E133" s="31"/>
      <c r="F133" s="31"/>
      <c r="G133" s="31"/>
      <c r="H133" s="30"/>
      <c r="I133" s="30"/>
      <c r="J133" s="30" t="s">
        <v>462</v>
      </c>
      <c r="K133" s="32"/>
      <c r="L133" s="33"/>
      <c r="M133" s="34"/>
      <c r="N133" s="33"/>
      <c r="O133" s="34"/>
      <c r="P133" s="42"/>
      <c r="S133" s="58"/>
    </row>
    <row r="134" spans="1:19" x14ac:dyDescent="0.25">
      <c r="I134" s="10"/>
      <c r="J134" s="30" t="s">
        <v>463</v>
      </c>
      <c r="P134" s="42"/>
      <c r="S134" s="58"/>
    </row>
    <row r="135" spans="1:19" x14ac:dyDescent="0.25">
      <c r="I135" s="10"/>
      <c r="J135" s="36" t="s">
        <v>464</v>
      </c>
      <c r="P135" s="42"/>
      <c r="S135" s="58"/>
    </row>
    <row r="137" spans="1:19" x14ac:dyDescent="0.25">
      <c r="A137" s="7" t="s">
        <v>231</v>
      </c>
      <c r="B137" s="7" t="s">
        <v>232</v>
      </c>
      <c r="C137" s="7">
        <v>1</v>
      </c>
      <c r="D137" s="7" t="s">
        <v>465</v>
      </c>
      <c r="E137" s="77"/>
      <c r="F137" s="77"/>
      <c r="G137" s="77"/>
      <c r="H137" s="38">
        <f ca="1">((YEAR(TODAY())-YEAR(M137))*12+MONTH(TODAY())-MONTH(M137))/12</f>
        <v>3.75</v>
      </c>
      <c r="I137" s="39" t="s">
        <v>466</v>
      </c>
      <c r="J137" s="7" t="s">
        <v>467</v>
      </c>
      <c r="K137" s="40"/>
      <c r="L137" s="7" t="s">
        <v>468</v>
      </c>
      <c r="M137" s="41">
        <v>44816</v>
      </c>
      <c r="N137" s="7" t="s">
        <v>236</v>
      </c>
      <c r="O137" s="41">
        <v>30884</v>
      </c>
      <c r="P137" s="42"/>
      <c r="R137">
        <f>VLOOKUP(D133,'[1]0524'!$B$3:$B$125,1,0)</f>
        <v>0</v>
      </c>
      <c r="S137"/>
    </row>
    <row r="138" spans="1:19" x14ac:dyDescent="0.25">
      <c r="A138" s="7" t="s">
        <v>231</v>
      </c>
      <c r="B138" s="7" t="s">
        <v>232</v>
      </c>
      <c r="C138" s="7">
        <v>2</v>
      </c>
      <c r="D138" s="7" t="s">
        <v>469</v>
      </c>
      <c r="E138" s="77"/>
      <c r="F138" s="77"/>
      <c r="G138" s="77"/>
      <c r="H138" s="38">
        <f ca="1">((YEAR(TODAY())-YEAR(M138))*12+MONTH(TODAY())-MONTH(M138))/12</f>
        <v>3.6666666666666665</v>
      </c>
      <c r="I138" s="39">
        <v>2030529947</v>
      </c>
      <c r="J138" s="7" t="s">
        <v>132</v>
      </c>
      <c r="K138" s="40"/>
      <c r="L138" s="7" t="s">
        <v>470</v>
      </c>
      <c r="M138" s="41">
        <v>44835</v>
      </c>
      <c r="N138" s="7" t="s">
        <v>236</v>
      </c>
      <c r="O138" s="41">
        <v>34715</v>
      </c>
      <c r="P138" s="42"/>
      <c r="R138">
        <f>VLOOKUP(D134,'[1]0524'!$B$3:$B$125,1,0)</f>
        <v>0</v>
      </c>
      <c r="S138"/>
    </row>
    <row r="139" spans="1:19" s="42" customFormat="1" x14ac:dyDescent="0.25">
      <c r="A139" s="7" t="s">
        <v>231</v>
      </c>
      <c r="B139" s="7" t="s">
        <v>232</v>
      </c>
      <c r="C139" s="7">
        <v>3</v>
      </c>
      <c r="D139" s="62" t="s">
        <v>471</v>
      </c>
      <c r="E139" s="77"/>
      <c r="F139" s="77"/>
      <c r="G139" s="77"/>
      <c r="H139" s="38">
        <f ca="1">((YEAR(TODAY())-YEAR(M139))*12+MONTH(TODAY())-MONTH(M139))/12</f>
        <v>1.0833333333333333</v>
      </c>
      <c r="I139" s="63" t="s">
        <v>472</v>
      </c>
      <c r="J139" s="62" t="s">
        <v>473</v>
      </c>
      <c r="K139" s="40">
        <v>46083</v>
      </c>
      <c r="L139" s="7" t="s">
        <v>470</v>
      </c>
      <c r="M139" s="64">
        <v>45803</v>
      </c>
      <c r="N139" s="62" t="s">
        <v>236</v>
      </c>
      <c r="O139" s="45">
        <v>34084</v>
      </c>
      <c r="P139" s="54" t="s">
        <v>296</v>
      </c>
      <c r="Q139"/>
      <c r="R139"/>
      <c r="S139"/>
    </row>
    <row r="140" spans="1:19" s="42" customFormat="1" x14ac:dyDescent="0.25">
      <c r="A140" s="7" t="s">
        <v>231</v>
      </c>
      <c r="B140" s="7" t="s">
        <v>232</v>
      </c>
      <c r="C140" s="7">
        <v>4</v>
      </c>
      <c r="D140" s="61" t="s">
        <v>135</v>
      </c>
      <c r="E140" s="77"/>
      <c r="F140" s="77"/>
      <c r="G140" s="77"/>
      <c r="H140" s="38">
        <f ca="1">((YEAR(TODAY())-YEAR(M140))*12+MONTH(TODAY())-MONTH(M140))/12</f>
        <v>0.33333333333333331</v>
      </c>
      <c r="I140" s="43" t="s">
        <v>136</v>
      </c>
      <c r="J140" s="62" t="s">
        <v>134</v>
      </c>
      <c r="K140" s="40"/>
      <c r="L140" s="7" t="s">
        <v>470</v>
      </c>
      <c r="M140" s="44">
        <v>46064</v>
      </c>
      <c r="N140" s="62" t="s">
        <v>236</v>
      </c>
      <c r="O140" s="44">
        <v>36061</v>
      </c>
      <c r="P140" s="54"/>
      <c r="Q140"/>
      <c r="R140"/>
      <c r="S140"/>
    </row>
    <row r="141" spans="1:19" s="42" customFormat="1" x14ac:dyDescent="0.25">
      <c r="A141" s="7" t="s">
        <v>231</v>
      </c>
      <c r="B141" s="7" t="s">
        <v>232</v>
      </c>
      <c r="C141" s="7">
        <v>5</v>
      </c>
      <c r="D141" s="61" t="s">
        <v>140</v>
      </c>
      <c r="E141" s="77"/>
      <c r="F141" s="77"/>
      <c r="G141" s="77"/>
      <c r="H141" s="38">
        <f ca="1">((YEAR(TODAY())-YEAR(M141))*12+MONTH(TODAY())-MONTH(M141))/12</f>
        <v>0.33333333333333331</v>
      </c>
      <c r="I141" s="43" t="s">
        <v>141</v>
      </c>
      <c r="J141" s="62" t="s">
        <v>474</v>
      </c>
      <c r="K141" s="40"/>
      <c r="L141" s="7" t="s">
        <v>470</v>
      </c>
      <c r="M141" s="44">
        <v>46069</v>
      </c>
      <c r="N141" s="62" t="s">
        <v>236</v>
      </c>
      <c r="O141" s="44">
        <v>30938</v>
      </c>
      <c r="P141" s="54"/>
      <c r="Q141"/>
      <c r="R141"/>
      <c r="S141"/>
    </row>
    <row r="142" spans="1:19" x14ac:dyDescent="0.25">
      <c r="H142" s="47"/>
      <c r="I142" s="10"/>
      <c r="P142" s="42"/>
      <c r="S142"/>
    </row>
    <row r="143" spans="1:19" x14ac:dyDescent="0.25">
      <c r="I143" s="10"/>
      <c r="J143" s="30" t="s">
        <v>475</v>
      </c>
      <c r="P143" s="42"/>
      <c r="S143" s="58"/>
    </row>
    <row r="144" spans="1:19" x14ac:dyDescent="0.25">
      <c r="I144" s="10"/>
      <c r="J144" s="36" t="s">
        <v>476</v>
      </c>
      <c r="P144" s="42"/>
      <c r="S144" s="58"/>
    </row>
    <row r="145" spans="1:19" x14ac:dyDescent="0.25">
      <c r="A145" s="7" t="s">
        <v>231</v>
      </c>
      <c r="B145" s="7" t="s">
        <v>232</v>
      </c>
      <c r="C145" s="7">
        <v>1</v>
      </c>
      <c r="D145" s="7" t="s">
        <v>477</v>
      </c>
      <c r="E145" s="77"/>
      <c r="F145" s="77"/>
      <c r="G145" s="77"/>
      <c r="H145" s="38">
        <f t="shared" ref="H145:H150" ca="1" si="10">((YEAR(TODAY())-YEAR(M145))*12+MONTH(TODAY())-MONTH(M145))/12</f>
        <v>6.666666666666667</v>
      </c>
      <c r="I145" s="39" t="s">
        <v>478</v>
      </c>
      <c r="J145" s="7" t="s">
        <v>479</v>
      </c>
      <c r="K145" s="40"/>
      <c r="L145" s="7" t="s">
        <v>480</v>
      </c>
      <c r="M145" s="41">
        <v>43740</v>
      </c>
      <c r="N145" s="7" t="s">
        <v>236</v>
      </c>
      <c r="O145" s="41">
        <v>30524</v>
      </c>
      <c r="P145" s="42"/>
      <c r="S145" s="58"/>
    </row>
    <row r="146" spans="1:19" x14ac:dyDescent="0.25">
      <c r="A146" s="7" t="s">
        <v>231</v>
      </c>
      <c r="B146" s="7" t="s">
        <v>232</v>
      </c>
      <c r="C146" s="7">
        <v>2</v>
      </c>
      <c r="D146" s="7" t="s">
        <v>481</v>
      </c>
      <c r="E146" s="77"/>
      <c r="F146" s="77"/>
      <c r="G146" s="77"/>
      <c r="H146" s="38">
        <f t="shared" ca="1" si="10"/>
        <v>4</v>
      </c>
      <c r="I146" s="39">
        <v>3210914411</v>
      </c>
      <c r="J146" s="7" t="s">
        <v>37</v>
      </c>
      <c r="K146" s="40"/>
      <c r="L146" s="7" t="s">
        <v>482</v>
      </c>
      <c r="M146" s="41">
        <v>44734</v>
      </c>
      <c r="N146" s="7" t="s">
        <v>236</v>
      </c>
      <c r="O146" s="41">
        <v>33922</v>
      </c>
      <c r="P146" s="42"/>
      <c r="R146" t="e">
        <f>VLOOKUP(#REF!,'[1]0524'!$B$3:$B$125,1,0)</f>
        <v>#REF!</v>
      </c>
      <c r="S146"/>
    </row>
    <row r="147" spans="1:19" x14ac:dyDescent="0.25">
      <c r="A147" s="7" t="s">
        <v>231</v>
      </c>
      <c r="B147" s="7" t="s">
        <v>232</v>
      </c>
      <c r="C147" s="7">
        <v>3</v>
      </c>
      <c r="D147" s="7" t="s">
        <v>483</v>
      </c>
      <c r="E147" s="77"/>
      <c r="F147" s="77"/>
      <c r="G147" s="77"/>
      <c r="H147" s="38">
        <f t="shared" ca="1" si="10"/>
        <v>2</v>
      </c>
      <c r="I147" s="52" t="s">
        <v>484</v>
      </c>
      <c r="J147" s="7" t="s">
        <v>35</v>
      </c>
      <c r="K147" s="40"/>
      <c r="L147" s="7" t="s">
        <v>482</v>
      </c>
      <c r="M147" s="41">
        <v>45468</v>
      </c>
      <c r="N147" s="7" t="s">
        <v>236</v>
      </c>
      <c r="O147" s="41">
        <v>32215</v>
      </c>
      <c r="P147" s="42"/>
      <c r="S147"/>
    </row>
    <row r="148" spans="1:19" x14ac:dyDescent="0.25">
      <c r="A148" s="7" t="s">
        <v>231</v>
      </c>
      <c r="B148" s="7" t="s">
        <v>232</v>
      </c>
      <c r="C148" s="7">
        <v>4</v>
      </c>
      <c r="D148" s="59" t="s">
        <v>485</v>
      </c>
      <c r="E148" s="60"/>
      <c r="F148" s="60"/>
      <c r="G148" s="60"/>
      <c r="H148" s="38">
        <f t="shared" ca="1" si="10"/>
        <v>1.75</v>
      </c>
      <c r="I148" s="52">
        <v>541384501</v>
      </c>
      <c r="J148" s="6" t="s">
        <v>39</v>
      </c>
      <c r="K148" s="40"/>
      <c r="L148" s="7" t="s">
        <v>482</v>
      </c>
      <c r="M148" s="41">
        <v>45558</v>
      </c>
      <c r="N148" s="7" t="s">
        <v>236</v>
      </c>
      <c r="O148" s="41">
        <v>33716</v>
      </c>
      <c r="P148" s="42"/>
      <c r="S148"/>
    </row>
    <row r="149" spans="1:19" x14ac:dyDescent="0.25">
      <c r="A149" s="7" t="s">
        <v>231</v>
      </c>
      <c r="B149" s="7" t="s">
        <v>232</v>
      </c>
      <c r="C149" s="7">
        <v>5</v>
      </c>
      <c r="D149" s="59" t="s">
        <v>486</v>
      </c>
      <c r="E149" s="60"/>
      <c r="F149" s="60"/>
      <c r="G149" s="60"/>
      <c r="H149" s="38">
        <f t="shared" ca="1" si="10"/>
        <v>1.4166666666666667</v>
      </c>
      <c r="I149" s="52" t="s">
        <v>487</v>
      </c>
      <c r="J149" s="6" t="s">
        <v>488</v>
      </c>
      <c r="K149" s="40"/>
      <c r="L149" s="7" t="s">
        <v>482</v>
      </c>
      <c r="M149" s="41">
        <v>45679</v>
      </c>
      <c r="N149" s="7" t="s">
        <v>236</v>
      </c>
      <c r="O149" s="41">
        <v>34061</v>
      </c>
      <c r="P149" s="42"/>
      <c r="S149"/>
    </row>
    <row r="150" spans="1:19" x14ac:dyDescent="0.25">
      <c r="A150" s="7" t="s">
        <v>231</v>
      </c>
      <c r="B150" s="7" t="s">
        <v>232</v>
      </c>
      <c r="C150" s="7">
        <v>6</v>
      </c>
      <c r="D150" s="59" t="s">
        <v>489</v>
      </c>
      <c r="E150" s="60"/>
      <c r="F150" s="60"/>
      <c r="G150" s="60"/>
      <c r="H150" s="38">
        <f t="shared" ca="1" si="10"/>
        <v>1</v>
      </c>
      <c r="I150" s="52" t="s">
        <v>490</v>
      </c>
      <c r="J150" s="6" t="s">
        <v>41</v>
      </c>
      <c r="K150" s="40"/>
      <c r="L150" s="7" t="s">
        <v>482</v>
      </c>
      <c r="M150" s="78">
        <v>45820</v>
      </c>
      <c r="N150" s="7" t="s">
        <v>236</v>
      </c>
      <c r="O150" s="41">
        <v>32711</v>
      </c>
      <c r="P150" s="42"/>
      <c r="S150"/>
    </row>
    <row r="151" spans="1:19" x14ac:dyDescent="0.25">
      <c r="E151" s="79"/>
      <c r="F151" s="79"/>
      <c r="G151" s="79"/>
      <c r="H151" s="47"/>
      <c r="I151" s="48"/>
      <c r="K151" s="49"/>
      <c r="M151" s="50"/>
      <c r="O151" s="50"/>
      <c r="P151" s="42"/>
      <c r="S151"/>
    </row>
    <row r="152" spans="1:19" x14ac:dyDescent="0.25">
      <c r="I152" s="10"/>
      <c r="J152" s="30" t="s">
        <v>491</v>
      </c>
      <c r="P152" s="42"/>
      <c r="S152" s="58"/>
    </row>
    <row r="153" spans="1:19" x14ac:dyDescent="0.25">
      <c r="I153" s="10"/>
      <c r="J153" s="36" t="s">
        <v>492</v>
      </c>
      <c r="P153" s="42"/>
      <c r="S153" s="58"/>
    </row>
    <row r="154" spans="1:19" x14ac:dyDescent="0.25">
      <c r="A154" s="7" t="s">
        <v>231</v>
      </c>
      <c r="B154" s="7" t="s">
        <v>232</v>
      </c>
      <c r="C154" s="7">
        <v>1</v>
      </c>
      <c r="D154" s="7" t="s">
        <v>493</v>
      </c>
      <c r="E154" s="77"/>
      <c r="F154" s="77"/>
      <c r="G154" s="77"/>
      <c r="H154" s="38">
        <f t="shared" ref="H154:H159" ca="1" si="11">((YEAR(TODAY())-YEAR(M154))*12+MONTH(TODAY())-MONTH(M154))/12</f>
        <v>6.916666666666667</v>
      </c>
      <c r="I154" s="39" t="s">
        <v>494</v>
      </c>
      <c r="J154" s="7" t="s">
        <v>495</v>
      </c>
      <c r="K154" s="40"/>
      <c r="L154" s="7" t="s">
        <v>496</v>
      </c>
      <c r="M154" s="41">
        <v>43675</v>
      </c>
      <c r="N154" s="7" t="s">
        <v>236</v>
      </c>
      <c r="O154" s="41">
        <v>29170</v>
      </c>
      <c r="P154" s="42"/>
      <c r="R154" t="e">
        <f>VLOOKUP(D150,'[1]0524'!$B$3:$B$125,1,0)</f>
        <v>#N/A</v>
      </c>
      <c r="S154"/>
    </row>
    <row r="155" spans="1:19" x14ac:dyDescent="0.25">
      <c r="A155" s="7" t="s">
        <v>231</v>
      </c>
      <c r="B155" s="7" t="s">
        <v>232</v>
      </c>
      <c r="C155" s="7">
        <v>2</v>
      </c>
      <c r="D155" s="7" t="s">
        <v>497</v>
      </c>
      <c r="E155" s="77"/>
      <c r="F155" s="77"/>
      <c r="G155" s="77"/>
      <c r="H155" s="38">
        <f t="shared" ca="1" si="11"/>
        <v>1</v>
      </c>
      <c r="I155" s="39" t="s">
        <v>498</v>
      </c>
      <c r="J155" s="7" t="s">
        <v>194</v>
      </c>
      <c r="K155" s="40"/>
      <c r="L155" s="62" t="s">
        <v>499</v>
      </c>
      <c r="M155" s="41">
        <v>45824</v>
      </c>
      <c r="N155" s="7" t="s">
        <v>236</v>
      </c>
      <c r="O155" s="41">
        <v>31302</v>
      </c>
      <c r="P155" s="42"/>
      <c r="S155"/>
    </row>
    <row r="156" spans="1:19" s="42" customFormat="1" x14ac:dyDescent="0.25">
      <c r="A156" s="7" t="s">
        <v>231</v>
      </c>
      <c r="B156" s="7" t="s">
        <v>232</v>
      </c>
      <c r="C156" s="7">
        <v>3</v>
      </c>
      <c r="D156" s="62" t="s">
        <v>500</v>
      </c>
      <c r="E156" s="77"/>
      <c r="F156" s="77"/>
      <c r="G156" s="77"/>
      <c r="H156" s="38">
        <f t="shared" ca="1" si="11"/>
        <v>3.5</v>
      </c>
      <c r="I156" s="63" t="s">
        <v>501</v>
      </c>
      <c r="J156" s="62" t="s">
        <v>502</v>
      </c>
      <c r="K156" s="40">
        <v>46128</v>
      </c>
      <c r="L156" s="7" t="s">
        <v>499</v>
      </c>
      <c r="M156" s="64">
        <v>44907</v>
      </c>
      <c r="N156" s="62" t="s">
        <v>236</v>
      </c>
      <c r="O156" s="64">
        <v>32478</v>
      </c>
      <c r="Q156"/>
      <c r="R156">
        <f>VLOOKUP(D135,'[1]0524'!$B$3:$B$125,1,0)</f>
        <v>0</v>
      </c>
      <c r="S156"/>
    </row>
    <row r="157" spans="1:19" s="42" customFormat="1" x14ac:dyDescent="0.25">
      <c r="A157" s="7" t="s">
        <v>231</v>
      </c>
      <c r="B157" s="7" t="s">
        <v>232</v>
      </c>
      <c r="C157" s="7">
        <v>4</v>
      </c>
      <c r="D157" s="62" t="s">
        <v>503</v>
      </c>
      <c r="E157" s="77"/>
      <c r="F157" s="77"/>
      <c r="G157" s="77"/>
      <c r="H157" s="38">
        <f t="shared" ca="1" si="11"/>
        <v>0.66666666666666663</v>
      </c>
      <c r="I157" s="63" t="s">
        <v>504</v>
      </c>
      <c r="J157" s="62" t="s">
        <v>505</v>
      </c>
      <c r="K157" s="40">
        <v>46118</v>
      </c>
      <c r="L157" s="7" t="s">
        <v>499</v>
      </c>
      <c r="M157" s="64">
        <v>45936</v>
      </c>
      <c r="N157" s="62" t="s">
        <v>236</v>
      </c>
      <c r="O157" s="64">
        <v>33531</v>
      </c>
      <c r="Q157"/>
      <c r="R157"/>
      <c r="S157"/>
    </row>
    <row r="158" spans="1:19" s="42" customFormat="1" x14ac:dyDescent="0.25">
      <c r="A158" s="7" t="s">
        <v>231</v>
      </c>
      <c r="B158" s="7" t="s">
        <v>232</v>
      </c>
      <c r="C158" s="7">
        <v>5</v>
      </c>
      <c r="D158" s="4" t="s">
        <v>506</v>
      </c>
      <c r="E158" s="77"/>
      <c r="F158" s="77"/>
      <c r="G158" s="77"/>
      <c r="H158" s="38">
        <f t="shared" ca="1" si="11"/>
        <v>0.5</v>
      </c>
      <c r="I158" s="5" t="s">
        <v>507</v>
      </c>
      <c r="J158" s="62" t="s">
        <v>508</v>
      </c>
      <c r="K158" s="40"/>
      <c r="L158" s="7" t="s">
        <v>499</v>
      </c>
      <c r="M158" s="44">
        <v>46015</v>
      </c>
      <c r="N158" s="62" t="s">
        <v>236</v>
      </c>
      <c r="O158" s="44">
        <v>31672</v>
      </c>
      <c r="Q158"/>
      <c r="R158"/>
      <c r="S158"/>
    </row>
    <row r="159" spans="1:19" x14ac:dyDescent="0.25">
      <c r="A159" s="7" t="s">
        <v>231</v>
      </c>
      <c r="B159" s="7" t="s">
        <v>232</v>
      </c>
      <c r="C159" s="7">
        <v>6</v>
      </c>
      <c r="D159" s="7" t="s">
        <v>509</v>
      </c>
      <c r="E159" s="37"/>
      <c r="F159" s="37"/>
      <c r="G159" s="37"/>
      <c r="H159" s="38">
        <f t="shared" ca="1" si="11"/>
        <v>0.5</v>
      </c>
      <c r="I159" s="43" t="s">
        <v>510</v>
      </c>
      <c r="J159" s="6" t="s">
        <v>511</v>
      </c>
      <c r="K159" s="80"/>
      <c r="L159" s="7" t="s">
        <v>499</v>
      </c>
      <c r="M159" s="53">
        <v>45996</v>
      </c>
      <c r="N159" s="7" t="s">
        <v>236</v>
      </c>
      <c r="O159" s="44">
        <v>33006</v>
      </c>
      <c r="P159" s="42"/>
      <c r="S159"/>
    </row>
    <row r="160" spans="1:19" x14ac:dyDescent="0.25">
      <c r="E160" s="79"/>
      <c r="F160" s="79"/>
      <c r="G160" s="79"/>
      <c r="H160" s="47"/>
      <c r="I160" s="48"/>
      <c r="K160" s="49"/>
      <c r="M160" s="50"/>
      <c r="O160" s="50"/>
      <c r="P160" s="42"/>
      <c r="R160" t="e">
        <f>VLOOKUP(#REF!,'[1]0524'!$B$3:$B$125,1,0)</f>
        <v>#REF!</v>
      </c>
      <c r="S160"/>
    </row>
    <row r="161" spans="1:19" x14ac:dyDescent="0.25">
      <c r="I161" s="10"/>
      <c r="J161" s="30" t="s">
        <v>512</v>
      </c>
      <c r="P161" s="42"/>
      <c r="S161" s="58"/>
    </row>
    <row r="162" spans="1:19" x14ac:dyDescent="0.25">
      <c r="I162" s="10"/>
      <c r="J162" s="36" t="s">
        <v>513</v>
      </c>
      <c r="P162" s="42"/>
      <c r="S162" s="58"/>
    </row>
    <row r="163" spans="1:19" x14ac:dyDescent="0.25">
      <c r="A163" s="7" t="s">
        <v>231</v>
      </c>
      <c r="B163" s="7" t="s">
        <v>232</v>
      </c>
      <c r="C163" s="7">
        <v>1</v>
      </c>
      <c r="D163" s="7" t="s">
        <v>514</v>
      </c>
      <c r="E163" s="77"/>
      <c r="F163" s="77"/>
      <c r="G163" s="77"/>
      <c r="H163" s="38">
        <f ca="1">((YEAR(TODAY())-YEAR(M163))*12+MONTH(TODAY())-MONTH(M163))/12</f>
        <v>6.666666666666667</v>
      </c>
      <c r="I163" s="39">
        <v>2090538252</v>
      </c>
      <c r="J163" s="7" t="s">
        <v>515</v>
      </c>
      <c r="K163" s="40"/>
      <c r="L163" s="7" t="s">
        <v>516</v>
      </c>
      <c r="M163" s="41">
        <v>43740</v>
      </c>
      <c r="N163" s="7" t="s">
        <v>236</v>
      </c>
      <c r="O163" s="41">
        <v>32176</v>
      </c>
      <c r="P163" s="42"/>
      <c r="S163" s="58"/>
    </row>
    <row r="164" spans="1:19" x14ac:dyDescent="0.25">
      <c r="A164" s="7" t="s">
        <v>231</v>
      </c>
      <c r="B164" s="7" t="s">
        <v>232</v>
      </c>
      <c r="C164" s="7">
        <v>2</v>
      </c>
      <c r="D164" s="7" t="s">
        <v>517</v>
      </c>
      <c r="E164" s="77"/>
      <c r="F164" s="77"/>
      <c r="G164" s="77"/>
      <c r="H164" s="38">
        <f ca="1">((YEAR(TODAY())-YEAR(M164))*12+MONTH(TODAY())-MONTH(M164))/12</f>
        <v>3.8333333333333335</v>
      </c>
      <c r="I164" s="39">
        <v>3210939872</v>
      </c>
      <c r="J164" s="7" t="s">
        <v>518</v>
      </c>
      <c r="K164" s="40"/>
      <c r="L164" s="7" t="s">
        <v>519</v>
      </c>
      <c r="M164" s="41">
        <v>44781</v>
      </c>
      <c r="N164" s="7" t="s">
        <v>236</v>
      </c>
      <c r="O164" s="41">
        <v>36832</v>
      </c>
      <c r="P164" s="42"/>
      <c r="R164" t="str">
        <f>VLOOKUP(D156,'[1]0524'!$B$3:$B$125,1,0)</f>
        <v>PMT2212001</v>
      </c>
      <c r="S164"/>
    </row>
    <row r="165" spans="1:19" x14ac:dyDescent="0.25">
      <c r="A165" s="7" t="s">
        <v>231</v>
      </c>
      <c r="B165" s="7" t="s">
        <v>232</v>
      </c>
      <c r="C165" s="7">
        <v>3</v>
      </c>
      <c r="D165" s="7" t="s">
        <v>520</v>
      </c>
      <c r="E165" s="77"/>
      <c r="F165" s="77"/>
      <c r="G165" s="77"/>
      <c r="H165" s="38">
        <f ca="1">((YEAR(TODAY())-YEAR(M165))*12+MONTH(TODAY())-MONTH(M165))/12</f>
        <v>4.5</v>
      </c>
      <c r="I165" s="39" t="s">
        <v>521</v>
      </c>
      <c r="J165" s="7" t="s">
        <v>522</v>
      </c>
      <c r="K165" s="40"/>
      <c r="L165" s="7" t="s">
        <v>519</v>
      </c>
      <c r="M165" s="41">
        <v>44533</v>
      </c>
      <c r="N165" s="7" t="s">
        <v>236</v>
      </c>
      <c r="O165" s="41">
        <v>34062</v>
      </c>
      <c r="P165" s="42"/>
      <c r="R165">
        <f>VLOOKUP(D160,'[1]0524'!$B$3:$B$125,1,0)</f>
        <v>0</v>
      </c>
      <c r="S165"/>
    </row>
    <row r="166" spans="1:19" x14ac:dyDescent="0.25">
      <c r="A166" s="7" t="s">
        <v>231</v>
      </c>
      <c r="B166" s="7" t="s">
        <v>232</v>
      </c>
      <c r="C166" s="7">
        <v>4</v>
      </c>
      <c r="D166" s="7" t="s">
        <v>523</v>
      </c>
      <c r="E166" s="77"/>
      <c r="F166" s="77"/>
      <c r="G166" s="77"/>
      <c r="H166" s="38">
        <f ca="1">((YEAR(TODAY())-YEAR(M166))*12+MONTH(TODAY())-MONTH(M166))/12</f>
        <v>1</v>
      </c>
      <c r="I166" s="39" t="s">
        <v>524</v>
      </c>
      <c r="J166" s="7" t="s">
        <v>525</v>
      </c>
      <c r="K166" s="40"/>
      <c r="L166" s="7" t="s">
        <v>470</v>
      </c>
      <c r="M166" s="41">
        <v>45824</v>
      </c>
      <c r="N166" s="7" t="s">
        <v>236</v>
      </c>
      <c r="O166" s="41">
        <v>30169</v>
      </c>
      <c r="P166" s="42"/>
      <c r="S166"/>
    </row>
    <row r="167" spans="1:19" x14ac:dyDescent="0.25">
      <c r="E167" s="79"/>
      <c r="F167" s="79"/>
      <c r="G167" s="79"/>
      <c r="H167" s="47"/>
      <c r="I167" s="48"/>
      <c r="K167" s="49"/>
      <c r="M167" s="50"/>
      <c r="O167" s="50"/>
      <c r="P167" s="42"/>
      <c r="R167">
        <f>VLOOKUP(D161,'[1]0524'!$B$3:$B$125,1,0)</f>
        <v>0</v>
      </c>
      <c r="S167"/>
    </row>
    <row r="168" spans="1:19" x14ac:dyDescent="0.25">
      <c r="A168" s="123" t="s">
        <v>526</v>
      </c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42"/>
      <c r="S168"/>
    </row>
    <row r="169" spans="1:19" x14ac:dyDescent="0.25">
      <c r="A169" s="7" t="s">
        <v>231</v>
      </c>
      <c r="B169" s="7" t="s">
        <v>232</v>
      </c>
      <c r="C169" s="7">
        <v>1</v>
      </c>
      <c r="D169" s="7" t="s">
        <v>527</v>
      </c>
      <c r="E169" s="37"/>
      <c r="F169" s="37"/>
      <c r="G169" s="37"/>
      <c r="H169" s="38">
        <f ca="1">((YEAR(TODAY())-YEAR(M169))*12+MONTH(TODAY())-MONTH(M169))/12</f>
        <v>4.416666666666667</v>
      </c>
      <c r="I169" s="81">
        <v>1393356867</v>
      </c>
      <c r="J169" s="7" t="s">
        <v>528</v>
      </c>
      <c r="K169" s="40">
        <v>46055</v>
      </c>
      <c r="L169" s="7" t="s">
        <v>319</v>
      </c>
      <c r="M169" s="41">
        <v>44572</v>
      </c>
      <c r="N169" s="7" t="s">
        <v>236</v>
      </c>
      <c r="O169" s="41">
        <v>29884</v>
      </c>
      <c r="P169" s="42"/>
      <c r="R169">
        <f>VLOOKUP(D46,'[1]0524'!$B$3:$B$125,1,0)</f>
        <v>0</v>
      </c>
      <c r="S169"/>
    </row>
    <row r="170" spans="1:19" x14ac:dyDescent="0.25">
      <c r="A170" s="7" t="s">
        <v>231</v>
      </c>
      <c r="B170" s="7" t="s">
        <v>232</v>
      </c>
      <c r="C170" s="7">
        <v>2</v>
      </c>
      <c r="D170" s="59" t="s">
        <v>529</v>
      </c>
      <c r="E170" s="60"/>
      <c r="F170" s="60"/>
      <c r="G170" s="60"/>
      <c r="H170" s="38">
        <f ca="1">((YEAR(TODAY())-YEAR(M170))*12+MONTH(TODAY())-MONTH(M170))/12</f>
        <v>1.5833333333333333</v>
      </c>
      <c r="I170" s="82" t="s">
        <v>530</v>
      </c>
      <c r="J170" s="6" t="s">
        <v>531</v>
      </c>
      <c r="K170" s="44">
        <v>46058</v>
      </c>
      <c r="L170" s="7" t="s">
        <v>373</v>
      </c>
      <c r="M170" s="53">
        <v>45607</v>
      </c>
      <c r="N170" s="7" t="s">
        <v>236</v>
      </c>
      <c r="O170" s="41">
        <v>44683</v>
      </c>
      <c r="P170" s="54" t="s">
        <v>296</v>
      </c>
      <c r="S170"/>
    </row>
    <row r="171" spans="1:19" x14ac:dyDescent="0.25">
      <c r="A171" s="7" t="s">
        <v>231</v>
      </c>
      <c r="B171" s="7" t="s">
        <v>232</v>
      </c>
      <c r="C171" s="7">
        <v>3</v>
      </c>
      <c r="D171" s="7" t="s">
        <v>532</v>
      </c>
      <c r="E171" s="77"/>
      <c r="F171" s="77"/>
      <c r="G171" s="77"/>
      <c r="H171" s="38">
        <f ca="1">((YEAR(TODAY())-YEAR(M171))*12+MONTH(TODAY())-MONTH(M171))/12</f>
        <v>5.666666666666667</v>
      </c>
      <c r="I171" s="81" t="s">
        <v>533</v>
      </c>
      <c r="J171" s="7" t="s">
        <v>534</v>
      </c>
      <c r="K171" s="40">
        <v>46055</v>
      </c>
      <c r="L171" s="7" t="s">
        <v>470</v>
      </c>
      <c r="M171" s="41">
        <v>44106</v>
      </c>
      <c r="N171" s="7" t="s">
        <v>236</v>
      </c>
      <c r="O171" s="41">
        <v>31104</v>
      </c>
      <c r="P171" s="54" t="s">
        <v>296</v>
      </c>
      <c r="R171" t="e">
        <f>VLOOKUP(#REF!,'[1]0524'!$B$3:$B$125,1,0)</f>
        <v>#REF!</v>
      </c>
      <c r="S171"/>
    </row>
    <row r="172" spans="1:19" x14ac:dyDescent="0.25">
      <c r="A172" s="7" t="s">
        <v>231</v>
      </c>
      <c r="B172" s="7" t="s">
        <v>232</v>
      </c>
      <c r="C172" s="7">
        <v>4</v>
      </c>
      <c r="D172" s="61" t="s">
        <v>535</v>
      </c>
      <c r="E172" s="60"/>
      <c r="F172" s="60"/>
      <c r="G172" s="60"/>
      <c r="H172" s="38">
        <f ca="1">((YEAR(TODAY())-YEAR(M172))*12+MONTH(TODAY())-MONTH(M172))/12</f>
        <v>0.41666666666666669</v>
      </c>
      <c r="I172" s="43" t="s">
        <v>536</v>
      </c>
      <c r="J172" s="7" t="s">
        <v>537</v>
      </c>
      <c r="K172" s="40">
        <v>46071</v>
      </c>
      <c r="L172" s="7" t="s">
        <v>342</v>
      </c>
      <c r="M172" s="44">
        <v>46051</v>
      </c>
      <c r="N172" s="7" t="s">
        <v>236</v>
      </c>
      <c r="O172" s="44">
        <v>35117</v>
      </c>
      <c r="P172" s="42"/>
    </row>
    <row r="173" spans="1:19" x14ac:dyDescent="0.25">
      <c r="P173" s="42"/>
      <c r="R173" t="e">
        <f>VLOOKUP(#REF!,'[1]0524'!$B$3:$B$125,1,0)</f>
        <v>#REF!</v>
      </c>
      <c r="S173"/>
    </row>
  </sheetData>
  <mergeCells count="1">
    <mergeCell ref="A168:O168"/>
  </mergeCells>
  <printOptions horizontalCentered="1"/>
  <pageMargins left="0" right="0" top="0.31496062992125984" bottom="0.31496062992125984" header="0" footer="0"/>
  <pageSetup paperSize="9" scale="74" fitToHeight="0" orientation="landscape" r:id="rId1"/>
  <rowBreaks count="3" manualBreakCount="3">
    <brk id="44" max="15" man="1"/>
    <brk id="86" max="15" man="1"/>
    <brk id="131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Mapping Bu Gita</vt:lpstr>
      <vt:lpstr>CLEAN</vt:lpstr>
      <vt:lpstr>Clean Data HR</vt:lpstr>
      <vt:lpstr>Karyawan Resign</vt:lpstr>
      <vt:lpstr>20an</vt:lpstr>
      <vt:lpstr>'20an'!Print_Area</vt:lpstr>
      <vt:lpstr>'Clean Data HR'!Print_Area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adacc04</dc:creator>
  <cp:lastModifiedBy>adacc04</cp:lastModifiedBy>
  <dcterms:created xsi:type="dcterms:W3CDTF">2026-05-29T02:13:32Z</dcterms:created>
  <dcterms:modified xsi:type="dcterms:W3CDTF">2026-06-04T10:06:39Z</dcterms:modified>
</cp:coreProperties>
</file>