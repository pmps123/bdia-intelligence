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Z:\Rafli\Data Dashboard\Master Data\"/>
    </mc:Choice>
  </mc:AlternateContent>
  <xr:revisionPtr revIDLastSave="0" documentId="13_ncr:1_{C403B1BE-7040-48D4-BF4B-07311AFAC5B1}" xr6:coauthVersionLast="45" xr6:coauthVersionMax="45" xr10:uidLastSave="{00000000-0000-0000-0000-000000000000}"/>
  <bookViews>
    <workbookView xWindow="-120" yWindow="-120" windowWidth="20730" windowHeight="11160" tabRatio="587" activeTab="3" xr2:uid="{A9A4212F-F671-4F57-A58F-7ECA8A43C19A}"/>
  </bookViews>
  <sheets>
    <sheet name="20an" sheetId="8" r:id="rId1"/>
    <sheet name="Sheet5" sheetId="12" r:id="rId2"/>
    <sheet name="Sheet6" sheetId="13" r:id="rId3"/>
    <sheet name="JAN26" sheetId="7" r:id="rId4"/>
    <sheet name="Karyawan Resign" sheetId="10" r:id="rId5"/>
    <sheet name="Bandung" sheetId="1" state="hidden" r:id="rId6"/>
    <sheet name="Bogor" sheetId="2" state="hidden" r:id="rId7"/>
    <sheet name="Cirebon" sheetId="3" state="hidden" r:id="rId8"/>
    <sheet name="PCK" sheetId="4" state="hidden" r:id="rId9"/>
    <sheet name="Tasik" sheetId="5" state="hidden" r:id="rId10"/>
  </sheets>
  <externalReferences>
    <externalReference r:id="rId11"/>
  </externalReferences>
  <definedNames>
    <definedName name="_xlnm._FilterDatabase" localSheetId="0" hidden="1">'20an'!$Q$1:$Q$172</definedName>
    <definedName name="_xlnm.Print_Area" localSheetId="0">'20an'!$A$1:$P$103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I102" i="7" l="1"/>
  <c r="J102" i="7" s="1"/>
  <c r="I103" i="7"/>
  <c r="J103" i="7" s="1"/>
  <c r="I104" i="7"/>
  <c r="J104" i="7" s="1"/>
  <c r="I105" i="7"/>
  <c r="J105" i="7" s="1"/>
  <c r="I106" i="7"/>
  <c r="J106" i="7" s="1"/>
  <c r="I107" i="7"/>
  <c r="J107" i="7" s="1"/>
  <c r="I108" i="7"/>
  <c r="J108" i="7" s="1"/>
  <c r="I109" i="7"/>
  <c r="J109" i="7" s="1"/>
  <c r="I110" i="7"/>
  <c r="J110" i="7" s="1"/>
  <c r="I111" i="7"/>
  <c r="J111" i="7" s="1"/>
  <c r="I50" i="7" l="1"/>
  <c r="I101" i="7"/>
  <c r="J101" i="7" s="1"/>
  <c r="I100" i="7"/>
  <c r="J100" i="7" s="1"/>
  <c r="I99" i="7"/>
  <c r="J99" i="7" s="1"/>
  <c r="I98" i="7"/>
  <c r="J98" i="7" s="1"/>
  <c r="I88" i="7"/>
  <c r="I55" i="7"/>
  <c r="J55" i="7" s="1"/>
  <c r="H5" i="10"/>
  <c r="H4" i="10"/>
  <c r="H3" i="10"/>
  <c r="H2" i="10"/>
  <c r="H103" i="8"/>
  <c r="H102" i="8"/>
  <c r="H101" i="8"/>
  <c r="H100" i="8"/>
  <c r="H99" i="8"/>
  <c r="H98" i="8"/>
  <c r="H97" i="8"/>
  <c r="H96" i="8"/>
  <c r="H95" i="8"/>
  <c r="H94" i="8"/>
  <c r="H93" i="8"/>
  <c r="H92" i="8"/>
  <c r="H91" i="8"/>
  <c r="H90" i="8"/>
  <c r="H89" i="8"/>
  <c r="H88" i="8"/>
  <c r="H87" i="8"/>
  <c r="H86" i="8"/>
  <c r="H85" i="8"/>
  <c r="H84" i="8"/>
  <c r="H83" i="8"/>
  <c r="H82" i="8"/>
  <c r="H81" i="8"/>
  <c r="H80" i="8"/>
  <c r="H79" i="8"/>
  <c r="H78" i="8"/>
  <c r="H77" i="8"/>
  <c r="H76" i="8"/>
  <c r="H75" i="8"/>
  <c r="H74" i="8"/>
  <c r="H73" i="8"/>
  <c r="H72" i="8"/>
  <c r="H71" i="8"/>
  <c r="H70" i="8"/>
  <c r="H69" i="8"/>
  <c r="H68" i="8"/>
  <c r="H67" i="8"/>
  <c r="H66" i="8"/>
  <c r="H65" i="8"/>
  <c r="H64" i="8"/>
  <c r="H63" i="8"/>
  <c r="H62" i="8"/>
  <c r="H61" i="8"/>
  <c r="H60" i="8"/>
  <c r="H59" i="8"/>
  <c r="H58" i="8"/>
  <c r="H57" i="8"/>
  <c r="H56" i="8"/>
  <c r="H55" i="8"/>
  <c r="H54" i="8"/>
  <c r="H53" i="8"/>
  <c r="H52" i="8"/>
  <c r="H51" i="8"/>
  <c r="H50" i="8"/>
  <c r="H49" i="8"/>
  <c r="H48" i="8"/>
  <c r="H47" i="8"/>
  <c r="H46" i="8"/>
  <c r="H45" i="8"/>
  <c r="H44" i="8"/>
  <c r="H43" i="8"/>
  <c r="H42" i="8"/>
  <c r="H41" i="8"/>
  <c r="H40" i="8"/>
  <c r="H39" i="8"/>
  <c r="H38" i="8"/>
  <c r="H37" i="8"/>
  <c r="H36" i="8"/>
  <c r="H35" i="8"/>
  <c r="H34" i="8"/>
  <c r="H33" i="8"/>
  <c r="H32" i="8"/>
  <c r="H31" i="8"/>
  <c r="H30" i="8"/>
  <c r="H29" i="8"/>
  <c r="H28" i="8"/>
  <c r="H27" i="8"/>
  <c r="H26" i="8"/>
  <c r="H25" i="8"/>
  <c r="H24" i="8"/>
  <c r="H23" i="8"/>
  <c r="H22" i="8"/>
  <c r="H21" i="8"/>
  <c r="H20" i="8"/>
  <c r="H19" i="8"/>
  <c r="H18" i="8"/>
  <c r="H17" i="8"/>
  <c r="H16" i="8"/>
  <c r="H15" i="8"/>
  <c r="H14" i="8"/>
  <c r="H13" i="8"/>
  <c r="H12" i="8"/>
  <c r="H11" i="8"/>
  <c r="H10" i="8"/>
  <c r="H9" i="8"/>
  <c r="H8" i="8"/>
  <c r="H7" i="8"/>
  <c r="H6" i="8"/>
  <c r="H5" i="8"/>
  <c r="H4" i="8"/>
  <c r="H3" i="8"/>
  <c r="H2" i="8"/>
  <c r="I97" i="7" l="1"/>
  <c r="J97" i="7" s="1"/>
  <c r="I96" i="7"/>
  <c r="J96" i="7" s="1"/>
  <c r="I95" i="7"/>
  <c r="J95" i="7" s="1"/>
  <c r="I94" i="7"/>
  <c r="J94" i="7" s="1"/>
  <c r="I93" i="7"/>
  <c r="J93" i="7" s="1"/>
  <c r="I92" i="7"/>
  <c r="J92" i="7" s="1"/>
  <c r="I91" i="7"/>
  <c r="J91" i="7" s="1"/>
  <c r="I90" i="7"/>
  <c r="J90" i="7" s="1"/>
  <c r="I89" i="7"/>
  <c r="J89" i="7" s="1"/>
  <c r="J88" i="7"/>
  <c r="I87" i="7"/>
  <c r="J87" i="7" s="1"/>
  <c r="I86" i="7"/>
  <c r="J86" i="7" s="1"/>
  <c r="I85" i="7"/>
  <c r="J85" i="7" s="1"/>
  <c r="I84" i="7"/>
  <c r="J84" i="7" s="1"/>
  <c r="I83" i="7"/>
  <c r="J83" i="7" s="1"/>
  <c r="I82" i="7"/>
  <c r="J82" i="7" s="1"/>
  <c r="I81" i="7"/>
  <c r="J81" i="7" s="1"/>
  <c r="I80" i="7"/>
  <c r="J80" i="7" s="1"/>
  <c r="I79" i="7"/>
  <c r="J79" i="7" s="1"/>
  <c r="I78" i="7"/>
  <c r="J78" i="7" s="1"/>
  <c r="I77" i="7"/>
  <c r="J77" i="7" s="1"/>
  <c r="I76" i="7"/>
  <c r="J76" i="7" s="1"/>
  <c r="I75" i="7"/>
  <c r="J75" i="7" s="1"/>
  <c r="I74" i="7"/>
  <c r="J74" i="7" s="1"/>
  <c r="I73" i="7"/>
  <c r="J73" i="7" s="1"/>
  <c r="I72" i="7"/>
  <c r="J72" i="7" s="1"/>
  <c r="I71" i="7"/>
  <c r="J71" i="7" s="1"/>
  <c r="I70" i="7"/>
  <c r="J70" i="7" s="1"/>
  <c r="I69" i="7"/>
  <c r="J69" i="7" s="1"/>
  <c r="I68" i="7"/>
  <c r="J68" i="7" s="1"/>
  <c r="I67" i="7"/>
  <c r="J67" i="7" s="1"/>
  <c r="I66" i="7"/>
  <c r="J66" i="7" s="1"/>
  <c r="I65" i="7"/>
  <c r="J65" i="7" s="1"/>
  <c r="I64" i="7"/>
  <c r="J64" i="7" s="1"/>
  <c r="I63" i="7"/>
  <c r="J63" i="7" s="1"/>
  <c r="I62" i="7"/>
  <c r="J62" i="7" s="1"/>
  <c r="I61" i="7"/>
  <c r="J61" i="7" s="1"/>
  <c r="I60" i="7"/>
  <c r="J60" i="7" s="1"/>
  <c r="I59" i="7"/>
  <c r="J59" i="7" s="1"/>
  <c r="I58" i="7"/>
  <c r="J58" i="7" s="1"/>
  <c r="I57" i="7"/>
  <c r="J57" i="7" s="1"/>
  <c r="I56" i="7"/>
  <c r="J56" i="7" s="1"/>
  <c r="I54" i="7"/>
  <c r="J54" i="7" s="1"/>
  <c r="I53" i="7"/>
  <c r="J53" i="7" s="1"/>
  <c r="I52" i="7"/>
  <c r="J52" i="7" s="1"/>
  <c r="I51" i="7"/>
  <c r="J51" i="7" s="1"/>
  <c r="J50" i="7"/>
  <c r="I49" i="7"/>
  <c r="J49" i="7" s="1"/>
  <c r="I48" i="7"/>
  <c r="J48" i="7" s="1"/>
  <c r="I47" i="7"/>
  <c r="J47" i="7" s="1"/>
  <c r="I46" i="7"/>
  <c r="J46" i="7" s="1"/>
  <c r="I45" i="7"/>
  <c r="J45" i="7" s="1"/>
  <c r="I44" i="7"/>
  <c r="J44" i="7" s="1"/>
  <c r="I43" i="7"/>
  <c r="J43" i="7" s="1"/>
  <c r="I42" i="7"/>
  <c r="J42" i="7" s="1"/>
  <c r="I41" i="7"/>
  <c r="J41" i="7" s="1"/>
  <c r="I40" i="7"/>
  <c r="J40" i="7" s="1"/>
  <c r="I39" i="7"/>
  <c r="J39" i="7" s="1"/>
  <c r="I38" i="7"/>
  <c r="J38" i="7" s="1"/>
  <c r="I37" i="7"/>
  <c r="J37" i="7" s="1"/>
  <c r="I36" i="7"/>
  <c r="J36" i="7" s="1"/>
  <c r="I35" i="7"/>
  <c r="J35" i="7" s="1"/>
  <c r="I34" i="7"/>
  <c r="J34" i="7" s="1"/>
  <c r="I33" i="7"/>
  <c r="J33" i="7" s="1"/>
  <c r="I32" i="7"/>
  <c r="J32" i="7" s="1"/>
  <c r="I31" i="7"/>
  <c r="J31" i="7" s="1"/>
  <c r="I30" i="7"/>
  <c r="J30" i="7" s="1"/>
  <c r="I29" i="7"/>
  <c r="J29" i="7" s="1"/>
  <c r="I28" i="7"/>
  <c r="J28" i="7" s="1"/>
  <c r="I27" i="7"/>
  <c r="J27" i="7" s="1"/>
  <c r="I26" i="7"/>
  <c r="J26" i="7" s="1"/>
  <c r="I25" i="7"/>
  <c r="J25" i="7" s="1"/>
  <c r="I24" i="7"/>
  <c r="J24" i="7" s="1"/>
  <c r="I23" i="7"/>
  <c r="J23" i="7" s="1"/>
  <c r="I22" i="7"/>
  <c r="J22" i="7" s="1"/>
  <c r="I21" i="7"/>
  <c r="J21" i="7" s="1"/>
  <c r="I20" i="7"/>
  <c r="J20" i="7" s="1"/>
  <c r="I19" i="7"/>
  <c r="J19" i="7" s="1"/>
  <c r="I18" i="7"/>
  <c r="J18" i="7" s="1"/>
  <c r="I17" i="7"/>
  <c r="J17" i="7" s="1"/>
  <c r="I16" i="7"/>
  <c r="J16" i="7" s="1"/>
  <c r="I15" i="7"/>
  <c r="J15" i="7" s="1"/>
  <c r="I14" i="7"/>
  <c r="J14" i="7" s="1"/>
  <c r="I13" i="7"/>
  <c r="J13" i="7" s="1"/>
  <c r="I12" i="7"/>
  <c r="J12" i="7" s="1"/>
  <c r="I11" i="7"/>
  <c r="J11" i="7" s="1"/>
  <c r="I10" i="7"/>
  <c r="J10" i="7" s="1"/>
  <c r="I9" i="7"/>
  <c r="J9" i="7" s="1"/>
  <c r="I8" i="7"/>
  <c r="J8" i="7" s="1"/>
  <c r="I7" i="7"/>
  <c r="J7" i="7" s="1"/>
  <c r="I6" i="7"/>
  <c r="J6" i="7" s="1"/>
  <c r="I5" i="7"/>
  <c r="J5" i="7" s="1"/>
  <c r="I4" i="7"/>
  <c r="J4" i="7" s="1"/>
  <c r="I3" i="7"/>
  <c r="J3" i="7" s="1"/>
  <c r="I2" i="7" l="1"/>
  <c r="J2" i="7" s="1"/>
  <c r="Q5" i="8"/>
  <c r="Q17" i="8"/>
  <c r="Q29" i="8"/>
  <c r="Q41" i="8"/>
  <c r="Q53" i="8"/>
  <c r="Q65" i="8"/>
  <c r="Q77" i="8"/>
  <c r="Q89" i="8"/>
  <c r="Q101" i="8"/>
  <c r="Q6" i="8"/>
  <c r="Q18" i="8"/>
  <c r="Q30" i="8"/>
  <c r="Q42" i="8"/>
  <c r="Q54" i="8"/>
  <c r="Q66" i="8"/>
  <c r="Q78" i="8"/>
  <c r="Q90" i="8"/>
  <c r="Q102" i="8"/>
  <c r="Q27" i="8"/>
  <c r="Q16" i="8"/>
  <c r="Q7" i="8"/>
  <c r="Q19" i="8"/>
  <c r="Q31" i="8"/>
  <c r="Q43" i="8"/>
  <c r="Q55" i="8"/>
  <c r="Q67" i="8"/>
  <c r="Q79" i="8"/>
  <c r="Q91" i="8"/>
  <c r="Q103" i="8"/>
  <c r="Q15" i="8"/>
  <c r="Q28" i="8"/>
  <c r="Q8" i="8"/>
  <c r="Q20" i="8"/>
  <c r="Q32" i="8"/>
  <c r="Q44" i="8"/>
  <c r="Q56" i="8"/>
  <c r="Q68" i="8"/>
  <c r="Q80" i="8"/>
  <c r="Q92" i="8"/>
  <c r="Q2" i="8"/>
  <c r="Q87" i="8"/>
  <c r="Q100" i="8"/>
  <c r="Q9" i="8"/>
  <c r="Q21" i="8"/>
  <c r="Q33" i="8"/>
  <c r="Q45" i="8"/>
  <c r="Q57" i="8"/>
  <c r="Q69" i="8"/>
  <c r="Q81" i="8"/>
  <c r="Q93" i="8"/>
  <c r="Q63" i="8"/>
  <c r="Q88" i="8"/>
  <c r="Q10" i="8"/>
  <c r="Q22" i="8"/>
  <c r="Q34" i="8"/>
  <c r="Q46" i="8"/>
  <c r="Q58" i="8"/>
  <c r="Q70" i="8"/>
  <c r="Q82" i="8"/>
  <c r="Q94" i="8"/>
  <c r="Q39" i="8"/>
  <c r="Q40" i="8"/>
  <c r="Q11" i="8"/>
  <c r="Q23" i="8"/>
  <c r="Q35" i="8"/>
  <c r="Q47" i="8"/>
  <c r="Q59" i="8"/>
  <c r="Q71" i="8"/>
  <c r="Q83" i="8"/>
  <c r="Q95" i="8"/>
  <c r="Q75" i="8"/>
  <c r="Q52" i="8"/>
  <c r="Q12" i="8"/>
  <c r="Q24" i="8"/>
  <c r="Q36" i="8"/>
  <c r="Q48" i="8"/>
  <c r="Q60" i="8"/>
  <c r="Q72" i="8"/>
  <c r="Q84" i="8"/>
  <c r="Q96" i="8"/>
  <c r="Q3" i="8"/>
  <c r="Q64" i="8"/>
  <c r="Q13" i="8"/>
  <c r="Q25" i="8"/>
  <c r="Q37" i="8"/>
  <c r="Q49" i="8"/>
  <c r="Q61" i="8"/>
  <c r="Q73" i="8"/>
  <c r="Q85" i="8"/>
  <c r="Q97" i="8"/>
  <c r="Q99" i="8"/>
  <c r="Q76" i="8"/>
  <c r="Q14" i="8"/>
  <c r="Q26" i="8"/>
  <c r="Q38" i="8"/>
  <c r="Q50" i="8"/>
  <c r="Q62" i="8"/>
  <c r="Q74" i="8"/>
  <c r="Q86" i="8"/>
  <c r="Q98" i="8"/>
  <c r="Q51" i="8"/>
  <c r="Q4" i="8"/>
  <c r="H11" i="1"/>
  <c r="G11" i="1"/>
  <c r="E11" i="1"/>
  <c r="B11" i="1"/>
  <c r="A11" i="1"/>
  <c r="H10" i="1"/>
  <c r="G10" i="1"/>
  <c r="E10" i="1"/>
  <c r="B10" i="1"/>
  <c r="A10" i="1"/>
  <c r="H9" i="1"/>
  <c r="G9" i="1"/>
  <c r="E9" i="1"/>
  <c r="B9" i="1"/>
  <c r="A9" i="1"/>
  <c r="H8" i="1"/>
  <c r="G8" i="1"/>
  <c r="E8" i="1"/>
  <c r="B8" i="1"/>
  <c r="A8" i="1"/>
  <c r="H7" i="1"/>
  <c r="G7" i="1"/>
  <c r="E7" i="1"/>
  <c r="B7" i="1"/>
  <c r="A7" i="1"/>
  <c r="H6" i="1"/>
  <c r="G6" i="1"/>
  <c r="E6" i="1"/>
  <c r="B6" i="1"/>
  <c r="A6" i="1"/>
  <c r="H5" i="1"/>
  <c r="G5" i="1"/>
  <c r="E5" i="1"/>
  <c r="B5" i="1"/>
  <c r="A5" i="1"/>
  <c r="H4" i="1"/>
  <c r="G4" i="1"/>
  <c r="E4" i="1"/>
  <c r="B4" i="1"/>
  <c r="A4" i="1"/>
</calcChain>
</file>

<file path=xl/sharedStrings.xml><?xml version="1.0" encoding="utf-8"?>
<sst xmlns="http://schemas.openxmlformats.org/spreadsheetml/2006/main" count="2138" uniqueCount="559">
  <si>
    <t>Branch</t>
  </si>
  <si>
    <t>Divisi</t>
  </si>
  <si>
    <t>Kode Sales</t>
  </si>
  <si>
    <t>Januari</t>
  </si>
  <si>
    <t>Masuk</t>
  </si>
  <si>
    <t>Keluar</t>
  </si>
  <si>
    <t>NIK</t>
  </si>
  <si>
    <t>No Rek</t>
  </si>
  <si>
    <t>ELMOD01</t>
  </si>
  <si>
    <t>Ridwan Fauzan Firdaus</t>
  </si>
  <si>
    <t>ELMOD02</t>
  </si>
  <si>
    <t>Nur Ali</t>
  </si>
  <si>
    <t>ELSLE01</t>
  </si>
  <si>
    <t>RENALDI AGUSTIANA YUSUF</t>
  </si>
  <si>
    <t>ELSLE02</t>
  </si>
  <si>
    <t>Syamsul Palah</t>
  </si>
  <si>
    <t>ELSLE03</t>
  </si>
  <si>
    <t>Ghisan Al Azhali</t>
  </si>
  <si>
    <t>ELSLE04</t>
  </si>
  <si>
    <t>VIRSQI INDRA</t>
  </si>
  <si>
    <t>ELSLE05</t>
  </si>
  <si>
    <t>Hasudungan</t>
  </si>
  <si>
    <t>ELCOS01</t>
  </si>
  <si>
    <t>ROSADI</t>
  </si>
  <si>
    <t>ELEKTRIK BANDUNG</t>
  </si>
  <si>
    <t>Bandung</t>
  </si>
  <si>
    <t>ICI</t>
  </si>
  <si>
    <t>ICSLM01</t>
  </si>
  <si>
    <t>Ikhwan Fiddin</t>
  </si>
  <si>
    <t>PMD2308002</t>
  </si>
  <si>
    <t>2832258475</t>
  </si>
  <si>
    <t>ICSLM03</t>
  </si>
  <si>
    <t>Dadan Hardiansah Putra</t>
  </si>
  <si>
    <t>PMD2201006</t>
  </si>
  <si>
    <t>ICSLM05</t>
  </si>
  <si>
    <t>Moch Armando Vebby</t>
  </si>
  <si>
    <t>PMD2112004</t>
  </si>
  <si>
    <t>1393317101</t>
  </si>
  <si>
    <t>ICSLM06</t>
  </si>
  <si>
    <t>Rahmat Hidayat</t>
  </si>
  <si>
    <t>PMD2111013</t>
  </si>
  <si>
    <t>2830825579</t>
  </si>
  <si>
    <t>ICSLM07</t>
  </si>
  <si>
    <t>Satria Pamungkas</t>
  </si>
  <si>
    <t>PMD2206002</t>
  </si>
  <si>
    <t>4372932876</t>
  </si>
  <si>
    <t>ICSLM09</t>
  </si>
  <si>
    <t>Andi Kurniawan</t>
  </si>
  <si>
    <t>PMD2201008</t>
  </si>
  <si>
    <t>ICI BANDUNG</t>
  </si>
  <si>
    <t>Pipa Pompa</t>
  </si>
  <si>
    <t>PPSLM01</t>
  </si>
  <si>
    <t>Agus Gunawan</t>
  </si>
  <si>
    <t>PMD2402001</t>
  </si>
  <si>
    <t>8103039361</t>
  </si>
  <si>
    <t>PPSLM02</t>
  </si>
  <si>
    <t>TEGOEH PRAMONO</t>
  </si>
  <si>
    <t>PMD2511002</t>
  </si>
  <si>
    <t>2831900280</t>
  </si>
  <si>
    <t>PPSLM03</t>
  </si>
  <si>
    <t>PELSA CHRISTIAN</t>
  </si>
  <si>
    <t>PMD2512004</t>
  </si>
  <si>
    <t>7771774958</t>
  </si>
  <si>
    <t>PPSLM04</t>
  </si>
  <si>
    <t>Andre Setiawan</t>
  </si>
  <si>
    <t>PMD2407002</t>
  </si>
  <si>
    <t>1760287934</t>
  </si>
  <si>
    <t>PPSLM05</t>
  </si>
  <si>
    <t>Yusuf Angga Setiabudi</t>
  </si>
  <si>
    <t>PMD2107003</t>
  </si>
  <si>
    <t>PPSLM06</t>
  </si>
  <si>
    <t>Erlan Sopiana</t>
  </si>
  <si>
    <t>PMD2502005</t>
  </si>
  <si>
    <t>2801445111</t>
  </si>
  <si>
    <t>PPSLM07</t>
  </si>
  <si>
    <t>LEO FERDIANSYAH</t>
  </si>
  <si>
    <t>PMD2511004</t>
  </si>
  <si>
    <t>1392396947</t>
  </si>
  <si>
    <t>PPSLM08</t>
  </si>
  <si>
    <t>Hendikus Waruwu</t>
  </si>
  <si>
    <t>PMD2506001</t>
  </si>
  <si>
    <t>PPSLM09</t>
  </si>
  <si>
    <t>Vacant</t>
  </si>
  <si>
    <t>PP BANDUNG</t>
  </si>
  <si>
    <t>Pipamas</t>
  </si>
  <si>
    <t>PISLP01</t>
  </si>
  <si>
    <t>ASEP SOPIYAN</t>
  </si>
  <si>
    <t>PMD2508010</t>
  </si>
  <si>
    <t>3790592777</t>
  </si>
  <si>
    <t>PISLP02</t>
  </si>
  <si>
    <t>Hari Wiharyana</t>
  </si>
  <si>
    <t>PMD2509003</t>
  </si>
  <si>
    <t>2800939910</t>
  </si>
  <si>
    <t>PISLP03</t>
  </si>
  <si>
    <t>PISLP04</t>
  </si>
  <si>
    <t xml:space="preserve">Gugun Hanafi </t>
  </si>
  <si>
    <t>PMD2503004</t>
  </si>
  <si>
    <t>1560108695</t>
  </si>
  <si>
    <t>PISLP05</t>
  </si>
  <si>
    <t>PISLP06</t>
  </si>
  <si>
    <t>Aditiya Muhammad Ramdhan</t>
  </si>
  <si>
    <t>PMD2503003</t>
  </si>
  <si>
    <t>7750965185</t>
  </si>
  <si>
    <t>PISLP07</t>
  </si>
  <si>
    <t>Bagus Gumilar</t>
  </si>
  <si>
    <t>PMD2210008</t>
  </si>
  <si>
    <t>0083879235</t>
  </si>
  <si>
    <t>PISLP08</t>
  </si>
  <si>
    <t>Muhammad Riki Safari</t>
  </si>
  <si>
    <t>PMD2109007</t>
  </si>
  <si>
    <t>PISLP09</t>
  </si>
  <si>
    <t>IKHSAN MAULANA YUSUF</t>
  </si>
  <si>
    <t>PMD2508004</t>
  </si>
  <si>
    <t>8320689768</t>
  </si>
  <si>
    <t>PISLP10</t>
  </si>
  <si>
    <t>Anre Iksan Rosadi</t>
  </si>
  <si>
    <t>PMD2505002</t>
  </si>
  <si>
    <t>4310478577</t>
  </si>
  <si>
    <t>PISLP11</t>
  </si>
  <si>
    <t>Rizal Zaelani</t>
  </si>
  <si>
    <t>PMD2512003</t>
  </si>
  <si>
    <t>4461503378</t>
  </si>
  <si>
    <t>PICOS01</t>
  </si>
  <si>
    <t>RICKI GALIH GINANJAR</t>
  </si>
  <si>
    <t>PMD2308005</t>
  </si>
  <si>
    <t>1560107931</t>
  </si>
  <si>
    <t>PICOS21</t>
  </si>
  <si>
    <t>BILLY SUGIARTO</t>
  </si>
  <si>
    <t>PMD2512006</t>
  </si>
  <si>
    <t>8090609018</t>
  </si>
  <si>
    <t>PI BANDUNG</t>
  </si>
  <si>
    <t>Bogor</t>
  </si>
  <si>
    <t>Elektrik</t>
  </si>
  <si>
    <t>ELSLE85</t>
  </si>
  <si>
    <t>Syahri Rizki</t>
  </si>
  <si>
    <t>PMB2405003</t>
  </si>
  <si>
    <t>3720066482</t>
  </si>
  <si>
    <t>ELSLE86</t>
  </si>
  <si>
    <t>Wahyu Widiana</t>
  </si>
  <si>
    <t>PMB2212002</t>
  </si>
  <si>
    <t>ELSLE87</t>
  </si>
  <si>
    <t>Ryan Novi Handoko</t>
  </si>
  <si>
    <t>PMB2112002</t>
  </si>
  <si>
    <t>ELSLE88</t>
  </si>
  <si>
    <t>Muhamad Hasan</t>
  </si>
  <si>
    <t>PMB2009005</t>
  </si>
  <si>
    <t>ELEKTRIK</t>
  </si>
  <si>
    <t>ICSLM80</t>
  </si>
  <si>
    <t>Ramli Nasution</t>
  </si>
  <si>
    <t>PMB2506001</t>
  </si>
  <si>
    <t>7380496873</t>
  </si>
  <si>
    <t>ICSLM81</t>
  </si>
  <si>
    <t>Asep Permana Noor</t>
  </si>
  <si>
    <t>PMB2405006</t>
  </si>
  <si>
    <t>0953412346</t>
  </si>
  <si>
    <t>ICSLM82</t>
  </si>
  <si>
    <t>Fajar Nugraha</t>
  </si>
  <si>
    <t>PMB2411002</t>
  </si>
  <si>
    <t>1672882235</t>
  </si>
  <si>
    <t>ICSLM83</t>
  </si>
  <si>
    <t>Zaenudin</t>
  </si>
  <si>
    <t>PMB2105004</t>
  </si>
  <si>
    <t>ICSLM84</t>
  </si>
  <si>
    <t>Lucky Ghrstyan Syah</t>
  </si>
  <si>
    <t>PMB1909012</t>
  </si>
  <si>
    <t>ICSLM85</t>
  </si>
  <si>
    <t>Andri Prayitno</t>
  </si>
  <si>
    <t>PMB2408001</t>
  </si>
  <si>
    <t>8720384575</t>
  </si>
  <si>
    <t>PPSLM85</t>
  </si>
  <si>
    <t>Abdul Agus</t>
  </si>
  <si>
    <t>PMD2508009</t>
  </si>
  <si>
    <t>8720170974</t>
  </si>
  <si>
    <t>PPSLM86</t>
  </si>
  <si>
    <t>Antonio Rifaldo</t>
  </si>
  <si>
    <t>PMB2411001</t>
  </si>
  <si>
    <t>0954790581</t>
  </si>
  <si>
    <t>PPSLM87</t>
  </si>
  <si>
    <t>Ahmad Daud Abdullah</t>
  </si>
  <si>
    <t>PMB2302004</t>
  </si>
  <si>
    <t>7120059186</t>
  </si>
  <si>
    <t>PPSLM88</t>
  </si>
  <si>
    <t>Rian Rudian</t>
  </si>
  <si>
    <t>PMB2207003</t>
  </si>
  <si>
    <t>1742087799</t>
  </si>
  <si>
    <t>PPSLM89</t>
  </si>
  <si>
    <t>Gati Kusmanto</t>
  </si>
  <si>
    <t>PMB2212001</t>
  </si>
  <si>
    <t>0630100844</t>
  </si>
  <si>
    <t>PP</t>
  </si>
  <si>
    <t>PISLP81</t>
  </si>
  <si>
    <t>Lili Murtado</t>
  </si>
  <si>
    <t>PMB2110006</t>
  </si>
  <si>
    <t>PISLP82</t>
  </si>
  <si>
    <t>Mulyadi</t>
  </si>
  <si>
    <t>kosong</t>
  </si>
  <si>
    <t/>
  </si>
  <si>
    <t>PISLP83</t>
  </si>
  <si>
    <t>Febiansyah</t>
  </si>
  <si>
    <t>PMB2212003</t>
  </si>
  <si>
    <t>5470418682</t>
  </si>
  <si>
    <t>PISLP84</t>
  </si>
  <si>
    <t>Artanto</t>
  </si>
  <si>
    <t>PMD2510002</t>
  </si>
  <si>
    <t>0953302303</t>
  </si>
  <si>
    <t>PISLP85</t>
  </si>
  <si>
    <t>PI</t>
  </si>
  <si>
    <t>Cirebon</t>
  </si>
  <si>
    <t>ELSLE60</t>
  </si>
  <si>
    <t>Nurfadilah</t>
  </si>
  <si>
    <t>PMC2301001</t>
  </si>
  <si>
    <t>1342293292</t>
  </si>
  <si>
    <t>ELSLE61</t>
  </si>
  <si>
    <t>Fanji Berliandy Azhari Ridzki</t>
  </si>
  <si>
    <t>PMC2112006</t>
  </si>
  <si>
    <t>ELSLE62</t>
  </si>
  <si>
    <t>Ade Trihandoyo</t>
  </si>
  <si>
    <t>PMC2507002</t>
  </si>
  <si>
    <t>ELSLE63</t>
  </si>
  <si>
    <t>Fidyah Faroid</t>
  </si>
  <si>
    <t>PMC2407004</t>
  </si>
  <si>
    <t>8180505475</t>
  </si>
  <si>
    <t>ELSLE64</t>
  </si>
  <si>
    <t>Eko Yoga Prawira</t>
  </si>
  <si>
    <t>PMC2502002</t>
  </si>
  <si>
    <t>1342833637</t>
  </si>
  <si>
    <t>ELSLE65</t>
  </si>
  <si>
    <t>Ipan Wiguna</t>
  </si>
  <si>
    <t>PMC2412003</t>
  </si>
  <si>
    <t>2991983084</t>
  </si>
  <si>
    <t>PPSLM60</t>
  </si>
  <si>
    <t>Deni Junaeni Adriyadi</t>
  </si>
  <si>
    <t>PMC2408001</t>
  </si>
  <si>
    <t>1342870354</t>
  </si>
  <si>
    <t>PPSLM61</t>
  </si>
  <si>
    <t>Imam Santoso</t>
  </si>
  <si>
    <t>PMC2306001</t>
  </si>
  <si>
    <t>1341798898</t>
  </si>
  <si>
    <t>PPSLM62</t>
  </si>
  <si>
    <t>Rahman Adi Kusuma</t>
  </si>
  <si>
    <t>PMC2407003</t>
  </si>
  <si>
    <t>1341470272</t>
  </si>
  <si>
    <t>PPSLM63</t>
  </si>
  <si>
    <t>Rohmanudin</t>
  </si>
  <si>
    <t>PMC2405002</t>
  </si>
  <si>
    <t>3741569866</t>
  </si>
  <si>
    <t>PPSLM64</t>
  </si>
  <si>
    <t>Willyanto</t>
  </si>
  <si>
    <t>PMC2204004</t>
  </si>
  <si>
    <t>PPSLM65</t>
  </si>
  <si>
    <t>Abdurokhim</t>
  </si>
  <si>
    <t>PMC2405001</t>
  </si>
  <si>
    <t>3741559241</t>
  </si>
  <si>
    <t>PISLP60</t>
  </si>
  <si>
    <t>Budi Handoko</t>
  </si>
  <si>
    <t>PMC2507001</t>
  </si>
  <si>
    <t>8180252151</t>
  </si>
  <si>
    <t>PISLP61</t>
  </si>
  <si>
    <t>Hernado</t>
  </si>
  <si>
    <t>PMC2506002</t>
  </si>
  <si>
    <t>1342304294</t>
  </si>
  <si>
    <t>PISLP62</t>
  </si>
  <si>
    <t>Mochamad Triana</t>
  </si>
  <si>
    <t>PMC 2508001</t>
  </si>
  <si>
    <t>8180322745</t>
  </si>
  <si>
    <t>PCK</t>
  </si>
  <si>
    <t>ELSLE25</t>
  </si>
  <si>
    <t>Kiki Hadisurya</t>
  </si>
  <si>
    <t>PMK2412001</t>
  </si>
  <si>
    <t>0087042531</t>
  </si>
  <si>
    <t>ICSLM21</t>
  </si>
  <si>
    <t>Ujang Sulaeman</t>
  </si>
  <si>
    <t>PMK2011003</t>
  </si>
  <si>
    <t>ICSLM22</t>
  </si>
  <si>
    <t>Ahmad Sanusi</t>
  </si>
  <si>
    <t>PMD2508008</t>
  </si>
  <si>
    <t>5745718288</t>
  </si>
  <si>
    <t>ICSLM23</t>
  </si>
  <si>
    <t>Bonar Jumada</t>
  </si>
  <si>
    <t>PMK1809003</t>
  </si>
  <si>
    <t>5770551341</t>
  </si>
  <si>
    <t>ICSLM28</t>
  </si>
  <si>
    <t>Adhi Gustiana</t>
  </si>
  <si>
    <t>PMK1808008</t>
  </si>
  <si>
    <t>2310272283</t>
  </si>
  <si>
    <t>PPSLM24</t>
  </si>
  <si>
    <t>Asep Anang Rusmana</t>
  </si>
  <si>
    <t>PMK2112008</t>
  </si>
  <si>
    <t>1092167482</t>
  </si>
  <si>
    <t>PISLP26</t>
  </si>
  <si>
    <t>Afif Mustafa</t>
  </si>
  <si>
    <t>PMK2306002</t>
  </si>
  <si>
    <t>0662788285</t>
  </si>
  <si>
    <t>Tasik</t>
  </si>
  <si>
    <t>ELSLE71</t>
  </si>
  <si>
    <t>Firmansyah</t>
  </si>
  <si>
    <t>PMT2406003</t>
  </si>
  <si>
    <t>3211177428</t>
  </si>
  <si>
    <t>ELSLE72</t>
  </si>
  <si>
    <t>Dhia Ul Iman</t>
  </si>
  <si>
    <t>PMT2206001</t>
  </si>
  <si>
    <t>ELSLE73</t>
  </si>
  <si>
    <t>Veby Rizky Fauzi</t>
  </si>
  <si>
    <t>PMT2409001</t>
  </si>
  <si>
    <t>0541384501</t>
  </si>
  <si>
    <t>ELSLE74</t>
  </si>
  <si>
    <t>Dian Haerandi</t>
  </si>
  <si>
    <t>PMT2506001</t>
  </si>
  <si>
    <t>3211265807</t>
  </si>
  <si>
    <t>ELSLE75</t>
  </si>
  <si>
    <t>Jejen Alkohiri</t>
  </si>
  <si>
    <t>PMT2501001</t>
  </si>
  <si>
    <t>3210680810</t>
  </si>
  <si>
    <t>ICSLM71</t>
  </si>
  <si>
    <t>Faizal Abdul Jabbar</t>
  </si>
  <si>
    <t>PMT2112005</t>
  </si>
  <si>
    <t>3210847285</t>
  </si>
  <si>
    <t>ICSLM72</t>
  </si>
  <si>
    <t>Septian Hermansyah</t>
  </si>
  <si>
    <t>PMT2208001</t>
  </si>
  <si>
    <t>ICSLM73</t>
  </si>
  <si>
    <t>Nandang Tata Yusmana</t>
  </si>
  <si>
    <t>PMT2506002</t>
  </si>
  <si>
    <t>0541621678</t>
  </si>
  <si>
    <t>PPSLM71</t>
  </si>
  <si>
    <t>EDI ROSYADI</t>
  </si>
  <si>
    <t>24/12/2025</t>
  </si>
  <si>
    <t>PPSLM72</t>
  </si>
  <si>
    <t>ADITYA APTA TRIPURNA</t>
  </si>
  <si>
    <t>PMT2212001</t>
  </si>
  <si>
    <t>0542022157</t>
  </si>
  <si>
    <t>PPSLM73</t>
  </si>
  <si>
    <t>ANGGA DWITAMA</t>
  </si>
  <si>
    <t>PMD2510001</t>
  </si>
  <si>
    <t>1381618345</t>
  </si>
  <si>
    <t>PPSLM74</t>
  </si>
  <si>
    <t>Asep Rachmat Sapaat</t>
  </si>
  <si>
    <t>PMT2506003</t>
  </si>
  <si>
    <t>0542132653</t>
  </si>
  <si>
    <t>PPSLM75</t>
  </si>
  <si>
    <t>IRFAN SETIAWAN</t>
  </si>
  <si>
    <t>PMD2512002</t>
  </si>
  <si>
    <t>1381641738</t>
  </si>
  <si>
    <t>PISLP71</t>
  </si>
  <si>
    <t>Dudi Sidik Permana</t>
  </si>
  <si>
    <t>PMT2209002</t>
  </si>
  <si>
    <t>PISLP72</t>
  </si>
  <si>
    <t>Rudi Ruswandi</t>
  </si>
  <si>
    <t>PMT2010001</t>
  </si>
  <si>
    <t>0541428037</t>
  </si>
  <si>
    <t>PISLP73</t>
  </si>
  <si>
    <t>Eri Aprrilian Rusliana</t>
  </si>
  <si>
    <t>PMT2505001</t>
  </si>
  <si>
    <t>2080770807</t>
  </si>
  <si>
    <t>PISLP74</t>
  </si>
  <si>
    <t>Dian Nursamsi</t>
  </si>
  <si>
    <t>PMT2207002</t>
  </si>
  <si>
    <t>PISLP75</t>
  </si>
  <si>
    <t>Pak Martin</t>
  </si>
  <si>
    <t>Pak Nando</t>
  </si>
  <si>
    <t>Pak Billy</t>
  </si>
  <si>
    <t>Pak Adhi</t>
  </si>
  <si>
    <t>Pak Rikza</t>
  </si>
  <si>
    <t>COSPP</t>
  </si>
  <si>
    <t>ASTON VILLA</t>
  </si>
  <si>
    <t>Data HR</t>
  </si>
  <si>
    <t>St</t>
  </si>
  <si>
    <t>FIX</t>
  </si>
  <si>
    <t>Nu</t>
  </si>
  <si>
    <t>Lama Kerja</t>
  </si>
  <si>
    <t>No AC</t>
  </si>
  <si>
    <t>Dept and Location</t>
  </si>
  <si>
    <t>Tgl Resign</t>
  </si>
  <si>
    <t>Posisi</t>
  </si>
  <si>
    <t>Tgl Masuk</t>
  </si>
  <si>
    <t>Agama</t>
  </si>
  <si>
    <t>Tgl Lahir</t>
  </si>
  <si>
    <t>Keterangan</t>
  </si>
  <si>
    <t>ST</t>
  </si>
  <si>
    <t>NO</t>
  </si>
  <si>
    <t>PMD2002003</t>
  </si>
  <si>
    <t>Fanny Aisiyah Zuliani</t>
  </si>
  <si>
    <t>Coordinator Marketing Online Departement Soekarno Hatta</t>
  </si>
  <si>
    <t>Islam</t>
  </si>
  <si>
    <t>PMD2408004</t>
  </si>
  <si>
    <t>3790895125</t>
  </si>
  <si>
    <t>Enok Rina Hasanah</t>
  </si>
  <si>
    <t>Marketing Online Departement Soekarno Hatta</t>
  </si>
  <si>
    <t>PMD2502003</t>
  </si>
  <si>
    <t>7753136314</t>
  </si>
  <si>
    <t>Yuli Sartika</t>
  </si>
  <si>
    <t>PMD2207003</t>
  </si>
  <si>
    <t>Ricki Galih Ginanjar</t>
  </si>
  <si>
    <t xml:space="preserve">Coordinator Sales Pipamas Division </t>
  </si>
  <si>
    <t>Sales Pipamas Staff Soekarno Hatta</t>
  </si>
  <si>
    <t>Aditya Muhammad Ramdhan</t>
  </si>
  <si>
    <t>Gugun Hanafi</t>
  </si>
  <si>
    <t>Anre Ikhsan Rosyadi</t>
  </si>
  <si>
    <t>Ikhsan Maulana Yusuf</t>
  </si>
  <si>
    <t>Asep Sopiyan</t>
  </si>
  <si>
    <t>Billy Sugiarto</t>
  </si>
  <si>
    <t>PMD2205003</t>
  </si>
  <si>
    <t>Sales Electric Staff Soekarno Hatta</t>
  </si>
  <si>
    <t>PMD2408006</t>
  </si>
  <si>
    <t>PMD2412001</t>
  </si>
  <si>
    <t>7495077144</t>
  </si>
  <si>
    <t>PMD2512005</t>
  </si>
  <si>
    <t>1390637132</t>
  </si>
  <si>
    <t>Virsqi Indra Perdana</t>
  </si>
  <si>
    <t>PMD2512008</t>
  </si>
  <si>
    <t>3741721129</t>
  </si>
  <si>
    <t>Renaldi Agustiana Yusuf</t>
  </si>
  <si>
    <t>PMD2012002</t>
  </si>
  <si>
    <t>0631281850</t>
  </si>
  <si>
    <t>Aston Villa</t>
  </si>
  <si>
    <t>Sales Coordinator Pipe &amp; Pump Division Soekarno Hatta</t>
  </si>
  <si>
    <t>HOLD</t>
  </si>
  <si>
    <t>Sales Pipe &amp; Pump Staff Soekarno Hatta</t>
  </si>
  <si>
    <t>8106058160</t>
  </si>
  <si>
    <t>Katolik</t>
  </si>
  <si>
    <t>Yus Yusuf Angga Setiabudi</t>
  </si>
  <si>
    <t>Tegoeh Pramono</t>
  </si>
  <si>
    <t>Leo Ferdiansyah</t>
  </si>
  <si>
    <t>Sales Paint Staff Soekarno Hatta</t>
  </si>
  <si>
    <t>Sales Supervisor Paint Staff Soekarno Hatta</t>
  </si>
  <si>
    <t>Sales Coordinator Paint Division</t>
  </si>
  <si>
    <t>PMD2201011</t>
  </si>
  <si>
    <t>PMD2205006</t>
  </si>
  <si>
    <t>Sales Coordinator Electric Soekarno Hatta</t>
  </si>
  <si>
    <t>Sales ICI Coordinator Bogor</t>
  </si>
  <si>
    <t>Lucky Gema Christyan Syah</t>
  </si>
  <si>
    <t>Sales ICI Staff Bogor</t>
  </si>
  <si>
    <t>PMD2509001</t>
  </si>
  <si>
    <t>6820539786</t>
  </si>
  <si>
    <t>Zainal Hakiki</t>
  </si>
  <si>
    <t>Sales ICI Supervisor Bogor</t>
  </si>
  <si>
    <t>PMD2601002</t>
  </si>
  <si>
    <t>6610706418</t>
  </si>
  <si>
    <t>Fitrah Ramadhan</t>
  </si>
  <si>
    <t>PMB2405002</t>
  </si>
  <si>
    <t>0953571843</t>
  </si>
  <si>
    <t>Nanda Amelia</t>
  </si>
  <si>
    <t>Sales Pipe &amp; Pump &amp; Electric Supervisor Bogor</t>
  </si>
  <si>
    <t>Sales Electric Staff Bogor</t>
  </si>
  <si>
    <t>PMB2211002</t>
  </si>
  <si>
    <t>0380581647</t>
  </si>
  <si>
    <t>Endriyanto</t>
  </si>
  <si>
    <t>Coordinator Sales Electric Bogor</t>
  </si>
  <si>
    <t>Sales Pipe &amp; Pump Staff Bogor</t>
  </si>
  <si>
    <t>PMB2307003</t>
  </si>
  <si>
    <t>8410839165</t>
  </si>
  <si>
    <t>Ida Sugiarti</t>
  </si>
  <si>
    <t>Coordinator Sales Pipe &amp; Pump Bogor</t>
  </si>
  <si>
    <t>Sales Pipamas Staff Bogor</t>
  </si>
  <si>
    <t>PMD2512012</t>
  </si>
  <si>
    <t>4270520851</t>
  </si>
  <si>
    <t>Sales Paint Staff Karawang</t>
  </si>
  <si>
    <t>Kristen</t>
  </si>
  <si>
    <t>Sales Pipe &amp; Pump Staff Karawang</t>
  </si>
  <si>
    <t>Sales Pipamas Staff Karawang</t>
  </si>
  <si>
    <t>Sales Electric Staff Karawang</t>
  </si>
  <si>
    <t>PMC2204005</t>
  </si>
  <si>
    <t>Ismanto</t>
  </si>
  <si>
    <t>Sales Electric, Pipamas, Pipe &amp; Pump Supervisor Cirebon</t>
  </si>
  <si>
    <t>Sales Electric Staff Cirebon</t>
  </si>
  <si>
    <t>PMC2203003</t>
  </si>
  <si>
    <t>Moch Apip</t>
  </si>
  <si>
    <t>Coordinator Sales Electric Cirebon</t>
  </si>
  <si>
    <t>PMC2007006</t>
  </si>
  <si>
    <t>Rastha Kawistara</t>
  </si>
  <si>
    <t>Coordinator Sales Pipamas Cirebon</t>
  </si>
  <si>
    <t>Sales Pipamas Staff Cirebon</t>
  </si>
  <si>
    <t>PMC2508001</t>
  </si>
  <si>
    <t>PMC2209001</t>
  </si>
  <si>
    <t>Aldy Sulistio</t>
  </si>
  <si>
    <t>Coordinator Sales Pipe &amp; Pump Cirebon</t>
  </si>
  <si>
    <t>Sales Pipe &amp; Pump Staff Cirebon</t>
  </si>
  <si>
    <t>Sales Pipamas Staff Tasikmalaya</t>
  </si>
  <si>
    <t>PMT2209001</t>
  </si>
  <si>
    <t>0541950825</t>
  </si>
  <si>
    <t>Ar Ar Satia Rahmat</t>
  </si>
  <si>
    <t>Sales Pipamas Coordinator Tasikmalaya</t>
  </si>
  <si>
    <t>Eri Aprilian Rusliana</t>
  </si>
  <si>
    <t>PMT1910005</t>
  </si>
  <si>
    <t>0540741735</t>
  </si>
  <si>
    <t>Rikza Maulana</t>
  </si>
  <si>
    <t>Sales Coordinator Electric Division Tasikmalaya</t>
  </si>
  <si>
    <t>Sales Electric Staff Tasikmalaya</t>
  </si>
  <si>
    <t>Jejen Al Kohiri</t>
  </si>
  <si>
    <t>PMT1907023</t>
  </si>
  <si>
    <t>0540714282</t>
  </si>
  <si>
    <t>Asep Mamat Harisudin</t>
  </si>
  <si>
    <t>Coordinator Sales Pipe &amp; Pump Tasikmalaya</t>
  </si>
  <si>
    <t>Sales Pipe &amp; Pump Staff Tasikmalaya</t>
  </si>
  <si>
    <t>Aditya Apta Tripurna</t>
  </si>
  <si>
    <t>Angga Dwitama</t>
  </si>
  <si>
    <t>PMD2512010</t>
  </si>
  <si>
    <t>6235063992</t>
  </si>
  <si>
    <t>Edi Rosadi</t>
  </si>
  <si>
    <t>Irfan Setiawan</t>
  </si>
  <si>
    <t>PMT1910006</t>
  </si>
  <si>
    <t>Ade Hendra</t>
  </si>
  <si>
    <t>Sales ICI Coordinator Tasikmalaya</t>
  </si>
  <si>
    <t>Sales ICI Staff Tasikmalaya</t>
  </si>
  <si>
    <t>PMT2012001</t>
  </si>
  <si>
    <t>Yendi Cahyadi</t>
  </si>
  <si>
    <t>PMD2509004</t>
  </si>
  <si>
    <t>5170024461</t>
  </si>
  <si>
    <t>Rosadi</t>
  </si>
  <si>
    <t>Sales Electric Coordinator Soekarno Hatta</t>
  </si>
  <si>
    <t>Pelsa Christian</t>
  </si>
  <si>
    <t>Column1</t>
  </si>
  <si>
    <t>Sakit</t>
  </si>
  <si>
    <t>Izin</t>
  </si>
  <si>
    <t>Alpha</t>
  </si>
  <si>
    <t>Status</t>
  </si>
  <si>
    <t>Rekonsiliasi</t>
  </si>
  <si>
    <t>ICSPV08</t>
  </si>
  <si>
    <t>ZAINAL HAKIKI</t>
  </si>
  <si>
    <t>0-Jan-1900</t>
  </si>
  <si>
    <t>PPSPV08</t>
  </si>
  <si>
    <t>ELCOS08</t>
  </si>
  <si>
    <t>PPCOS08</t>
  </si>
  <si>
    <t>Data HR yang tidak ada di Data Bu Gita</t>
  </si>
  <si>
    <t>SPV06</t>
  </si>
  <si>
    <t>ELCOS06</t>
  </si>
  <si>
    <t>PICOS06</t>
  </si>
  <si>
    <t>PPCOS06</t>
  </si>
  <si>
    <t>PICOS07</t>
  </si>
  <si>
    <t>ELCOS07</t>
  </si>
  <si>
    <t>PPCOS07</t>
  </si>
  <si>
    <t>ICCOS07</t>
  </si>
  <si>
    <t>Aktif</t>
  </si>
  <si>
    <t xml:space="preserve"> ICSLM08</t>
  </si>
  <si>
    <t xml:space="preserve"> PISPV01</t>
  </si>
  <si>
    <t xml:space="preserve"> SPVEL01</t>
  </si>
  <si>
    <t xml:space="preserve"> ICCOS08</t>
  </si>
  <si>
    <t xml:space="preserve"> PICOS08</t>
  </si>
  <si>
    <t xml:space="preserve"> PPCOS01</t>
  </si>
  <si>
    <t xml:space="preserve"> SPVPP01</t>
  </si>
  <si>
    <t xml:space="preserve"> ELSPV08</t>
  </si>
  <si>
    <t>Jabatan</t>
  </si>
  <si>
    <t>Spv IC Bandung</t>
  </si>
  <si>
    <t>Spv PI Bandung</t>
  </si>
  <si>
    <t>Spv PP Bandung</t>
  </si>
  <si>
    <t>Spv EL Bandung</t>
  </si>
  <si>
    <t>Cosales PP Bandung</t>
  </si>
  <si>
    <t>Cosales IC Bogor</t>
  </si>
  <si>
    <t>Cosales PI Bogor</t>
  </si>
  <si>
    <t>Spv EL Bogor</t>
  </si>
  <si>
    <t>EL</t>
  </si>
  <si>
    <t>PA MARTIN</t>
  </si>
  <si>
    <t>GERY ISKANDAR</t>
  </si>
  <si>
    <t>KOSONG</t>
  </si>
  <si>
    <t>PAK RAMLI</t>
  </si>
  <si>
    <t>PAK ARMANDO</t>
  </si>
  <si>
    <t>NANDA AMELIA</t>
  </si>
  <si>
    <t>ket</t>
  </si>
  <si>
    <t>Februari ganti kode jadi ICCOS08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</si>
</sst>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1" formatCode="_(* #,##0_);_(* \(#,##0\);_(* &quot;-&quot;_);_(@_)"/>
    <numFmt numFmtId="43" formatCode="_(* #,##0.00_);_(* \(#,##0.00\);_(* &quot;-&quot;??_);_(@_)"/>
    <numFmt numFmtId="164" formatCode="[$-409]d\-mmm\-yyyy;@"/>
    <numFmt numFmtId="165" formatCode="[$-409]d\-mmm\-yy;@"/>
    <numFmt numFmtId="166" formatCode="_-* #,##0_-;\-* #,##0_-;_-* &quot;-&quot;_-;_-@_-"/>
    <numFmt numFmtId="167" formatCode="0.00\ &quot;thn&quot;"/>
    <numFmt numFmtId="168" formatCode="[$-409]dd\-mmm\-yy;@"/>
    <numFmt numFmtId="169" formatCode="_-* #,##0.00_-;\-* #,##0.00_-;_-* &quot;-&quot;??_-;_-@_-"/>
  </numFmts>
  <fonts count="2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name val="Arial"/>
      <family val="2"/>
    </font>
    <font>
      <sz val="11"/>
      <name val="Calibri"/>
      <family val="2"/>
    </font>
    <font>
      <sz val="10"/>
      <color rgb="FF000000"/>
      <name val="Times New Roman"/>
      <family val="1"/>
    </font>
    <font>
      <sz val="11"/>
      <color rgb="FF9C6500"/>
      <name val="Calibri"/>
      <family val="2"/>
      <scheme val="minor"/>
    </font>
    <font>
      <sz val="8"/>
      <name val="Calibri"/>
      <family val="2"/>
      <scheme val="minor"/>
    </font>
    <font>
      <sz val="11"/>
      <color indexed="8"/>
      <name val="Calibri"/>
      <family val="2"/>
      <charset val="1"/>
    </font>
    <font>
      <sz val="9"/>
      <color indexed="8"/>
      <name val="ËÎÌå"/>
      <charset val="1"/>
    </font>
  </fonts>
  <fills count="42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1"/>
        <bgColor indexed="64"/>
      </patternFill>
    </fill>
    <fill>
      <patternFill patternType="solid">
        <fgColor theme="1"/>
        <bgColor theme="9"/>
      </patternFill>
    </fill>
    <fill>
      <patternFill patternType="solid">
        <fgColor indexed="9"/>
        <bgColor indexed="26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79998168889431442"/>
        <bgColor theme="6" tint="0.79998168889431442"/>
      </patternFill>
    </fill>
  </fills>
  <borders count="32">
    <border>
      <left/>
      <right/>
      <top/>
      <bottom/>
      <diagonal/>
    </border>
    <border>
      <left style="thin">
        <color theme="4" tint="0.39997558519241921"/>
      </left>
      <right/>
      <top style="medium">
        <color rgb="FF000000"/>
      </top>
      <bottom style="thin">
        <color theme="4" tint="0.39997558519241921"/>
      </bottom>
      <diagonal/>
    </border>
    <border>
      <left/>
      <right/>
      <top style="medium">
        <color rgb="FF000000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medium">
        <color rgb="FF000000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theme="1"/>
      </right>
      <top style="thin">
        <color indexed="64"/>
      </top>
      <bottom/>
      <diagonal/>
    </border>
    <border>
      <left style="thin">
        <color indexed="64"/>
      </left>
      <right style="thin">
        <color theme="1"/>
      </right>
      <top style="thin">
        <color theme="1"/>
      </top>
      <bottom/>
      <diagonal/>
    </border>
    <border>
      <left style="thin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/>
      <bottom/>
      <diagonal/>
    </border>
  </borders>
  <cellStyleXfs count="2620">
    <xf numFmtId="0" fontId="0" fillId="0" borderId="0"/>
    <xf numFmtId="0" fontId="1" fillId="0" borderId="0"/>
    <xf numFmtId="0" fontId="5" fillId="0" borderId="0"/>
    <xf numFmtId="0" fontId="6" fillId="0" borderId="0" applyNumberFormat="0" applyFill="0" applyBorder="0" applyAlignment="0" applyProtection="0"/>
    <xf numFmtId="0" fontId="7" fillId="0" borderId="8" applyNumberFormat="0" applyFill="0" applyAlignment="0" applyProtection="0"/>
    <xf numFmtId="0" fontId="8" fillId="0" borderId="9" applyNumberFormat="0" applyFill="0" applyAlignment="0" applyProtection="0"/>
    <xf numFmtId="0" fontId="9" fillId="0" borderId="10" applyNumberFormat="0" applyFill="0" applyAlignment="0" applyProtection="0"/>
    <xf numFmtId="0" fontId="9" fillId="0" borderId="0" applyNumberFormat="0" applyFill="0" applyBorder="0" applyAlignment="0" applyProtection="0"/>
    <xf numFmtId="0" fontId="10" fillId="6" borderId="0" applyNumberFormat="0" applyBorder="0" applyAlignment="0" applyProtection="0"/>
    <xf numFmtId="0" fontId="11" fillId="7" borderId="0" applyNumberFormat="0" applyBorder="0" applyAlignment="0" applyProtection="0"/>
    <xf numFmtId="0" fontId="12" fillId="9" borderId="11" applyNumberFormat="0" applyAlignment="0" applyProtection="0"/>
    <xf numFmtId="0" fontId="13" fillId="10" borderId="12" applyNumberFormat="0" applyAlignment="0" applyProtection="0"/>
    <xf numFmtId="0" fontId="14" fillId="10" borderId="11" applyNumberFormat="0" applyAlignment="0" applyProtection="0"/>
    <xf numFmtId="0" fontId="15" fillId="0" borderId="13" applyNumberFormat="0" applyFill="0" applyAlignment="0" applyProtection="0"/>
    <xf numFmtId="0" fontId="2" fillId="11" borderId="14" applyNumberFormat="0" applyAlignment="0" applyProtection="0"/>
    <xf numFmtId="0" fontId="16" fillId="0" borderId="0" applyNumberFormat="0" applyFill="0" applyBorder="0" applyAlignment="0" applyProtection="0"/>
    <xf numFmtId="0" fontId="1" fillId="12" borderId="15" applyNumberFormat="0" applyFont="0" applyAlignment="0" applyProtection="0"/>
    <xf numFmtId="0" fontId="17" fillId="0" borderId="0" applyNumberFormat="0" applyFill="0" applyBorder="0" applyAlignment="0" applyProtection="0"/>
    <xf numFmtId="0" fontId="18" fillId="0" borderId="16" applyNumberFormat="0" applyFill="0" applyAlignment="0" applyProtection="0"/>
    <xf numFmtId="0" fontId="19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9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9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9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9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9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2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1" fillId="0" borderId="0"/>
    <xf numFmtId="166" fontId="1" fillId="0" borderId="0" applyFont="0" applyFill="0" applyBorder="0" applyAlignment="0" applyProtection="0"/>
    <xf numFmtId="0" fontId="22" fillId="0" borderId="0"/>
    <xf numFmtId="0" fontId="1" fillId="0" borderId="0"/>
    <xf numFmtId="0" fontId="23" fillId="0" borderId="0"/>
    <xf numFmtId="0" fontId="21" fillId="0" borderId="0"/>
    <xf numFmtId="0" fontId="5" fillId="0" borderId="0"/>
    <xf numFmtId="0" fontId="22" fillId="0" borderId="0"/>
    <xf numFmtId="0" fontId="5" fillId="0" borderId="0"/>
    <xf numFmtId="0" fontId="5" fillId="0" borderId="0"/>
    <xf numFmtId="0" fontId="5" fillId="0" borderId="0"/>
    <xf numFmtId="166" fontId="1" fillId="0" borderId="0" applyFont="0" applyFill="0" applyBorder="0" applyAlignment="0" applyProtection="0"/>
    <xf numFmtId="0" fontId="23" fillId="0" borderId="0"/>
    <xf numFmtId="0" fontId="22" fillId="0" borderId="0"/>
    <xf numFmtId="0" fontId="6" fillId="0" borderId="0" applyNumberFormat="0" applyFill="0" applyBorder="0" applyAlignment="0" applyProtection="0"/>
    <xf numFmtId="0" fontId="7" fillId="0" borderId="8" applyNumberFormat="0" applyFill="0" applyAlignment="0" applyProtection="0"/>
    <xf numFmtId="0" fontId="8" fillId="0" borderId="9" applyNumberFormat="0" applyFill="0" applyAlignment="0" applyProtection="0"/>
    <xf numFmtId="0" fontId="9" fillId="0" borderId="10" applyNumberFormat="0" applyFill="0" applyAlignment="0" applyProtection="0"/>
    <xf numFmtId="0" fontId="9" fillId="0" borderId="0" applyNumberFormat="0" applyFill="0" applyBorder="0" applyAlignment="0" applyProtection="0"/>
    <xf numFmtId="0" fontId="10" fillId="6" borderId="0" applyNumberFormat="0" applyBorder="0" applyAlignment="0" applyProtection="0"/>
    <xf numFmtId="0" fontId="11" fillId="7" borderId="0" applyNumberFormat="0" applyBorder="0" applyAlignment="0" applyProtection="0"/>
    <xf numFmtId="0" fontId="24" fillId="8" borderId="0" applyNumberFormat="0" applyBorder="0" applyAlignment="0" applyProtection="0"/>
    <xf numFmtId="0" fontId="12" fillId="9" borderId="11" applyNumberFormat="0" applyAlignment="0" applyProtection="0"/>
    <xf numFmtId="0" fontId="13" fillId="10" borderId="12" applyNumberFormat="0" applyAlignment="0" applyProtection="0"/>
    <xf numFmtId="0" fontId="14" fillId="10" borderId="11" applyNumberFormat="0" applyAlignment="0" applyProtection="0"/>
    <xf numFmtId="0" fontId="15" fillId="0" borderId="13" applyNumberFormat="0" applyFill="0" applyAlignment="0" applyProtection="0"/>
    <xf numFmtId="0" fontId="2" fillId="11" borderId="14" applyNumberFormat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16" applyNumberFormat="0" applyFill="0" applyAlignment="0" applyProtection="0"/>
    <xf numFmtId="0" fontId="19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9" fillId="16" borderId="0" applyNumberFormat="0" applyBorder="0" applyAlignment="0" applyProtection="0"/>
    <xf numFmtId="0" fontId="19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9" fillId="20" borderId="0" applyNumberFormat="0" applyBorder="0" applyAlignment="0" applyProtection="0"/>
    <xf numFmtId="0" fontId="19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9" fillId="24" borderId="0" applyNumberFormat="0" applyBorder="0" applyAlignment="0" applyProtection="0"/>
    <xf numFmtId="0" fontId="19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9" fillId="28" borderId="0" applyNumberFormat="0" applyBorder="0" applyAlignment="0" applyProtection="0"/>
    <xf numFmtId="0" fontId="19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9" fillId="32" borderId="0" applyNumberFormat="0" applyBorder="0" applyAlignment="0" applyProtection="0"/>
    <xf numFmtId="0" fontId="19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9" fillId="36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69" fontId="1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26" fillId="0" borderId="0"/>
    <xf numFmtId="0" fontId="27" fillId="39" borderId="0">
      <alignment horizontal="left" vertical="center"/>
    </xf>
    <xf numFmtId="0" fontId="21" fillId="0" borderId="0"/>
    <xf numFmtId="0" fontId="5" fillId="0" borderId="0"/>
    <xf numFmtId="0" fontId="5" fillId="0" borderId="0"/>
    <xf numFmtId="0" fontId="21" fillId="0" borderId="0"/>
    <xf numFmtId="0" fontId="1" fillId="0" borderId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69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08">
    <xf numFmtId="0" fontId="0" fillId="0" borderId="0" xfId="0"/>
    <xf numFmtId="0" fontId="2" fillId="2" borderId="1" xfId="1" applyFont="1" applyFill="1" applyBorder="1"/>
    <xf numFmtId="0" fontId="2" fillId="2" borderId="2" xfId="1" applyFont="1" applyFill="1" applyBorder="1"/>
    <xf numFmtId="0" fontId="2" fillId="2" borderId="2" xfId="1" applyFont="1" applyFill="1" applyBorder="1" applyAlignment="1">
      <alignment horizontal="left"/>
    </xf>
    <xf numFmtId="14" fontId="2" fillId="2" borderId="2" xfId="1" applyNumberFormat="1" applyFont="1" applyFill="1" applyBorder="1"/>
    <xf numFmtId="0" fontId="2" fillId="2" borderId="3" xfId="1" applyFont="1" applyFill="1" applyBorder="1"/>
    <xf numFmtId="0" fontId="0" fillId="3" borderId="4" xfId="1" applyFont="1" applyFill="1" applyBorder="1"/>
    <xf numFmtId="0" fontId="0" fillId="3" borderId="5" xfId="1" applyFont="1" applyFill="1" applyBorder="1"/>
    <xf numFmtId="0" fontId="0" fillId="3" borderId="5" xfId="0" applyFill="1" applyBorder="1" applyAlignment="1">
      <alignment vertical="center"/>
    </xf>
    <xf numFmtId="0" fontId="0" fillId="3" borderId="5" xfId="0" applyFill="1" applyBorder="1" applyAlignment="1">
      <alignment horizontal="left" vertical="center"/>
    </xf>
    <xf numFmtId="164" fontId="0" fillId="3" borderId="5" xfId="0" applyNumberFormat="1" applyFill="1" applyBorder="1"/>
    <xf numFmtId="0" fontId="0" fillId="3" borderId="5" xfId="0" applyFill="1" applyBorder="1"/>
    <xf numFmtId="0" fontId="0" fillId="3" borderId="6" xfId="0" applyFill="1" applyBorder="1"/>
    <xf numFmtId="0" fontId="0" fillId="0" borderId="4" xfId="1" applyFont="1" applyBorder="1"/>
    <xf numFmtId="0" fontId="0" fillId="0" borderId="5" xfId="1" applyFont="1" applyBorder="1"/>
    <xf numFmtId="0" fontId="0" fillId="0" borderId="5" xfId="0" applyBorder="1" applyAlignment="1">
      <alignment vertical="center"/>
    </xf>
    <xf numFmtId="0" fontId="0" fillId="0" borderId="5" xfId="0" applyBorder="1" applyAlignment="1">
      <alignment horizontal="left" vertical="center"/>
    </xf>
    <xf numFmtId="164" fontId="0" fillId="0" borderId="5" xfId="0" applyNumberFormat="1" applyBorder="1"/>
    <xf numFmtId="0" fontId="0" fillId="0" borderId="5" xfId="0" applyBorder="1"/>
    <xf numFmtId="0" fontId="0" fillId="0" borderId="6" xfId="0" applyBorder="1"/>
    <xf numFmtId="0" fontId="3" fillId="0" borderId="5" xfId="0" applyFont="1" applyBorder="1" applyAlignment="1">
      <alignment horizontal="left" vertical="center"/>
    </xf>
    <xf numFmtId="0" fontId="4" fillId="0" borderId="5" xfId="0" applyFont="1" applyBorder="1"/>
    <xf numFmtId="0" fontId="4" fillId="3" borderId="5" xfId="0" applyFont="1" applyFill="1" applyBorder="1"/>
    <xf numFmtId="0" fontId="3" fillId="3" borderId="5" xfId="0" applyFont="1" applyFill="1" applyBorder="1" applyAlignment="1">
      <alignment horizontal="left" vertical="center"/>
    </xf>
    <xf numFmtId="0" fontId="0" fillId="3" borderId="5" xfId="0" applyFill="1" applyBorder="1" applyAlignment="1">
      <alignment horizontal="left"/>
    </xf>
    <xf numFmtId="0" fontId="0" fillId="0" borderId="5" xfId="0" applyBorder="1" applyAlignment="1">
      <alignment horizontal="left"/>
    </xf>
    <xf numFmtId="0" fontId="0" fillId="3" borderId="5" xfId="2" applyFont="1" applyFill="1" applyBorder="1" applyAlignment="1">
      <alignment horizontal="left" vertical="center"/>
    </xf>
    <xf numFmtId="0" fontId="0" fillId="0" borderId="5" xfId="2" applyFont="1" applyBorder="1" applyAlignment="1">
      <alignment horizontal="left" vertical="center"/>
    </xf>
    <xf numFmtId="14" fontId="0" fillId="3" borderId="5" xfId="0" applyNumberFormat="1" applyFill="1" applyBorder="1"/>
    <xf numFmtId="0" fontId="0" fillId="3" borderId="7" xfId="0" applyFill="1" applyBorder="1" applyAlignment="1">
      <alignment horizontal="left"/>
    </xf>
    <xf numFmtId="0" fontId="0" fillId="3" borderId="7" xfId="0" quotePrefix="1" applyFill="1" applyBorder="1" applyAlignment="1">
      <alignment horizontal="left"/>
    </xf>
    <xf numFmtId="0" fontId="0" fillId="0" borderId="7" xfId="0" applyBorder="1"/>
    <xf numFmtId="14" fontId="0" fillId="0" borderId="5" xfId="0" applyNumberFormat="1" applyBorder="1"/>
    <xf numFmtId="0" fontId="0" fillId="0" borderId="7" xfId="0" applyBorder="1" applyAlignment="1">
      <alignment horizontal="left"/>
    </xf>
    <xf numFmtId="0" fontId="0" fillId="0" borderId="7" xfId="0" quotePrefix="1" applyBorder="1" applyAlignment="1">
      <alignment horizontal="left"/>
    </xf>
    <xf numFmtId="0" fontId="0" fillId="0" borderId="5" xfId="1" applyFont="1" applyBorder="1" applyAlignment="1">
      <alignment vertical="center"/>
    </xf>
    <xf numFmtId="0" fontId="0" fillId="3" borderId="5" xfId="1" applyFont="1" applyFill="1" applyBorder="1" applyAlignment="1">
      <alignment vertical="center"/>
    </xf>
    <xf numFmtId="15" fontId="0" fillId="5" borderId="7" xfId="0" applyNumberFormat="1" applyFill="1" applyBorder="1" applyAlignment="1">
      <alignment horizontal="center"/>
    </xf>
    <xf numFmtId="0" fontId="0" fillId="3" borderId="6" xfId="0" applyFill="1" applyBorder="1" applyAlignment="1">
      <alignment vertical="center"/>
    </xf>
    <xf numFmtId="0" fontId="0" fillId="0" borderId="0" xfId="0" applyAlignment="1">
      <alignment vertical="center"/>
    </xf>
    <xf numFmtId="0" fontId="0" fillId="4" borderId="0" xfId="0" applyFill="1" applyAlignment="1">
      <alignment horizontal="center"/>
    </xf>
    <xf numFmtId="0" fontId="0" fillId="0" borderId="0" xfId="0" applyAlignment="1">
      <alignment horizontal="right"/>
    </xf>
    <xf numFmtId="166" fontId="0" fillId="0" borderId="7" xfId="37" applyFont="1" applyFill="1" applyBorder="1"/>
    <xf numFmtId="167" fontId="0" fillId="0" borderId="7" xfId="0" applyNumberFormat="1" applyBorder="1"/>
    <xf numFmtId="49" fontId="0" fillId="0" borderId="7" xfId="0" applyNumberFormat="1" applyBorder="1" applyAlignment="1">
      <alignment horizontal="center"/>
    </xf>
    <xf numFmtId="165" fontId="0" fillId="0" borderId="7" xfId="0" applyNumberFormat="1" applyBorder="1"/>
    <xf numFmtId="0" fontId="16" fillId="0" borderId="0" xfId="0" applyFont="1"/>
    <xf numFmtId="0" fontId="0" fillId="0" borderId="7" xfId="0" applyBorder="1" applyAlignment="1">
      <alignment horizontal="left" vertical="center"/>
    </xf>
    <xf numFmtId="0" fontId="0" fillId="0" borderId="7" xfId="0" applyBorder="1" applyAlignment="1">
      <alignment horizontal="center"/>
    </xf>
    <xf numFmtId="0" fontId="20" fillId="0" borderId="0" xfId="0" applyFont="1"/>
    <xf numFmtId="0" fontId="16" fillId="0" borderId="0" xfId="0" applyFont="1" applyAlignment="1">
      <alignment horizontal="center"/>
    </xf>
    <xf numFmtId="15" fontId="0" fillId="0" borderId="7" xfId="0" applyNumberFormat="1" applyBorder="1"/>
    <xf numFmtId="0" fontId="0" fillId="5" borderId="7" xfId="0" applyFill="1" applyBorder="1" applyAlignment="1">
      <alignment horizontal="left" vertical="center"/>
    </xf>
    <xf numFmtId="166" fontId="0" fillId="0" borderId="7" xfId="0" applyNumberFormat="1" applyBorder="1"/>
    <xf numFmtId="0" fontId="3" fillId="0" borderId="7" xfId="0" applyFont="1" applyBorder="1"/>
    <xf numFmtId="0" fontId="0" fillId="0" borderId="18" xfId="0" applyBorder="1"/>
    <xf numFmtId="166" fontId="0" fillId="0" borderId="7" xfId="37" applyFont="1" applyBorder="1"/>
    <xf numFmtId="49" fontId="18" fillId="37" borderId="23" xfId="0" applyNumberFormat="1" applyFont="1" applyFill="1" applyBorder="1" applyAlignment="1">
      <alignment horizontal="center" vertical="center"/>
    </xf>
    <xf numFmtId="49" fontId="18" fillId="37" borderId="24" xfId="0" applyNumberFormat="1" applyFont="1" applyFill="1" applyBorder="1" applyAlignment="1">
      <alignment horizontal="center" vertical="center"/>
    </xf>
    <xf numFmtId="41" fontId="18" fillId="37" borderId="25" xfId="0" applyNumberFormat="1" applyFont="1" applyFill="1" applyBorder="1" applyAlignment="1">
      <alignment horizontal="center" vertical="center"/>
    </xf>
    <xf numFmtId="41" fontId="18" fillId="37" borderId="21" xfId="0" applyNumberFormat="1" applyFont="1" applyFill="1" applyBorder="1" applyAlignment="1">
      <alignment horizontal="center" vertical="center"/>
    </xf>
    <xf numFmtId="41" fontId="18" fillId="37" borderId="23" xfId="0" applyNumberFormat="1" applyFont="1" applyFill="1" applyBorder="1" applyAlignment="1">
      <alignment horizontal="center" vertical="center"/>
    </xf>
    <xf numFmtId="165" fontId="18" fillId="37" borderId="24" xfId="0" applyNumberFormat="1" applyFont="1" applyFill="1" applyBorder="1" applyAlignment="1">
      <alignment horizontal="center" vertical="center"/>
    </xf>
    <xf numFmtId="165" fontId="18" fillId="37" borderId="24" xfId="0" applyNumberFormat="1" applyFont="1" applyFill="1" applyBorder="1" applyAlignment="1">
      <alignment horizontal="right" vertical="center"/>
    </xf>
    <xf numFmtId="49" fontId="2" fillId="37" borderId="27" xfId="0" applyNumberFormat="1" applyFont="1" applyFill="1" applyBorder="1" applyAlignment="1">
      <alignment horizontal="center" vertical="center"/>
    </xf>
    <xf numFmtId="41" fontId="2" fillId="37" borderId="27" xfId="0" applyNumberFormat="1" applyFont="1" applyFill="1" applyBorder="1" applyAlignment="1">
      <alignment horizontal="center" vertical="center"/>
    </xf>
    <xf numFmtId="41" fontId="2" fillId="37" borderId="26" xfId="0" applyNumberFormat="1" applyFont="1" applyFill="1" applyBorder="1" applyAlignment="1">
      <alignment horizontal="center" vertical="center"/>
    </xf>
    <xf numFmtId="165" fontId="2" fillId="37" borderId="27" xfId="0" applyNumberFormat="1" applyFont="1" applyFill="1" applyBorder="1" applyAlignment="1">
      <alignment horizontal="center" vertical="center"/>
    </xf>
    <xf numFmtId="165" fontId="2" fillId="37" borderId="27" xfId="0" applyNumberFormat="1" applyFont="1" applyFill="1" applyBorder="1" applyAlignment="1">
      <alignment horizontal="right" vertical="center"/>
    </xf>
    <xf numFmtId="49" fontId="2" fillId="37" borderId="20" xfId="0" applyNumberFormat="1" applyFont="1" applyFill="1" applyBorder="1" applyAlignment="1">
      <alignment horizontal="center" vertical="center"/>
    </xf>
    <xf numFmtId="0" fontId="0" fillId="0" borderId="27" xfId="0" applyFont="1" applyBorder="1"/>
    <xf numFmtId="166" fontId="0" fillId="0" borderId="27" xfId="37" applyNumberFormat="1" applyFont="1" applyBorder="1"/>
    <xf numFmtId="167" fontId="0" fillId="0" borderId="27" xfId="0" applyNumberFormat="1" applyFont="1" applyBorder="1"/>
    <xf numFmtId="49" fontId="0" fillId="0" borderId="27" xfId="0" applyNumberFormat="1" applyFont="1" applyBorder="1" applyAlignment="1">
      <alignment horizontal="center"/>
    </xf>
    <xf numFmtId="15" fontId="0" fillId="5" borderId="27" xfId="0" applyNumberFormat="1" applyFont="1" applyFill="1" applyBorder="1" applyAlignment="1">
      <alignment horizontal="center"/>
    </xf>
    <xf numFmtId="165" fontId="0" fillId="0" borderId="27" xfId="0" applyNumberFormat="1" applyFont="1" applyBorder="1"/>
    <xf numFmtId="0" fontId="16" fillId="0" borderId="28" xfId="0" applyFont="1" applyBorder="1"/>
    <xf numFmtId="0" fontId="16" fillId="0" borderId="29" xfId="0" applyFont="1" applyBorder="1"/>
    <xf numFmtId="0" fontId="0" fillId="0" borderId="27" xfId="0" applyFont="1" applyBorder="1" applyAlignment="1">
      <alignment horizontal="center"/>
    </xf>
    <xf numFmtId="0" fontId="0" fillId="0" borderId="27" xfId="0" applyFont="1" applyBorder="1" applyAlignment="1">
      <alignment horizontal="left" vertical="center"/>
    </xf>
    <xf numFmtId="15" fontId="0" fillId="0" borderId="27" xfId="0" applyNumberFormat="1" applyFont="1" applyBorder="1" applyAlignment="1">
      <alignment horizontal="center"/>
    </xf>
    <xf numFmtId="15" fontId="0" fillId="0" borderId="27" xfId="0" applyNumberFormat="1" applyFont="1" applyBorder="1" applyAlignment="1">
      <alignment horizontal="right"/>
    </xf>
    <xf numFmtId="168" fontId="0" fillId="0" borderId="27" xfId="0" applyNumberFormat="1" applyFont="1" applyBorder="1"/>
    <xf numFmtId="0" fontId="20" fillId="0" borderId="29" xfId="0" applyFont="1" applyBorder="1"/>
    <xf numFmtId="0" fontId="16" fillId="0" borderId="29" xfId="0" applyFont="1" applyBorder="1" applyAlignment="1">
      <alignment horizontal="center"/>
    </xf>
    <xf numFmtId="0" fontId="0" fillId="0" borderId="27" xfId="0" applyFont="1" applyBorder="1" applyAlignment="1">
      <alignment horizontal="left"/>
    </xf>
    <xf numFmtId="15" fontId="0" fillId="0" borderId="27" xfId="0" applyNumberFormat="1" applyFont="1" applyBorder="1"/>
    <xf numFmtId="0" fontId="0" fillId="5" borderId="27" xfId="0" applyFont="1" applyFill="1" applyBorder="1" applyAlignment="1">
      <alignment horizontal="left" vertical="center"/>
    </xf>
    <xf numFmtId="0" fontId="0" fillId="0" borderId="27" xfId="39" applyNumberFormat="1" applyFont="1" applyBorder="1" applyAlignment="1">
      <alignment horizontal="left" vertical="center"/>
    </xf>
    <xf numFmtId="166" fontId="0" fillId="0" borderId="27" xfId="0" applyNumberFormat="1" applyFont="1" applyBorder="1"/>
    <xf numFmtId="0" fontId="0" fillId="5" borderId="27" xfId="0" applyFont="1" applyFill="1" applyBorder="1"/>
    <xf numFmtId="0" fontId="3" fillId="0" borderId="27" xfId="0" applyFont="1" applyBorder="1"/>
    <xf numFmtId="0" fontId="3" fillId="0" borderId="27" xfId="0" applyFont="1" applyBorder="1" applyAlignment="1">
      <alignment horizontal="center"/>
    </xf>
    <xf numFmtId="165" fontId="3" fillId="0" borderId="27" xfId="0" applyNumberFormat="1" applyFont="1" applyBorder="1"/>
    <xf numFmtId="49" fontId="3" fillId="0" borderId="27" xfId="0" applyNumberFormat="1" applyFont="1" applyBorder="1" applyAlignment="1">
      <alignment horizontal="center"/>
    </xf>
    <xf numFmtId="0" fontId="0" fillId="0" borderId="29" xfId="0" applyFont="1" applyBorder="1"/>
    <xf numFmtId="169" fontId="0" fillId="0" borderId="27" xfId="39" applyNumberFormat="1" applyFont="1" applyBorder="1" applyAlignment="1">
      <alignment horizontal="left" vertical="center"/>
    </xf>
    <xf numFmtId="15" fontId="0" fillId="0" borderId="27" xfId="0" applyNumberFormat="1" applyFont="1" applyBorder="1" applyAlignment="1">
      <alignment horizontal="right" vertical="center"/>
    </xf>
    <xf numFmtId="15" fontId="20" fillId="5" borderId="27" xfId="0" applyNumberFormat="1" applyFont="1" applyFill="1" applyBorder="1" applyAlignment="1">
      <alignment horizontal="center"/>
    </xf>
    <xf numFmtId="0" fontId="0" fillId="0" borderId="17" xfId="0" applyFont="1" applyBorder="1"/>
    <xf numFmtId="166" fontId="0" fillId="0" borderId="17" xfId="37" applyNumberFormat="1" applyFont="1" applyBorder="1"/>
    <xf numFmtId="167" fontId="0" fillId="0" borderId="17" xfId="0" applyNumberFormat="1" applyFont="1" applyBorder="1"/>
    <xf numFmtId="49" fontId="0" fillId="0" borderId="17" xfId="0" applyNumberFormat="1" applyFont="1" applyBorder="1" applyAlignment="1">
      <alignment horizontal="center"/>
    </xf>
    <xf numFmtId="15" fontId="0" fillId="5" borderId="17" xfId="0" applyNumberFormat="1" applyFont="1" applyFill="1" applyBorder="1" applyAlignment="1">
      <alignment horizontal="center"/>
    </xf>
    <xf numFmtId="165" fontId="0" fillId="0" borderId="17" xfId="0" applyNumberFormat="1" applyFont="1" applyBorder="1"/>
    <xf numFmtId="0" fontId="16" fillId="0" borderId="30" xfId="0" applyFont="1" applyBorder="1"/>
    <xf numFmtId="0" fontId="0" fillId="0" borderId="0" xfId="0" applyFill="1"/>
    <xf numFmtId="0" fontId="0" fillId="0" borderId="7" xfId="0" applyFill="1" applyBorder="1"/>
    <xf numFmtId="0" fontId="4" fillId="0" borderId="7" xfId="0" applyFont="1" applyFill="1" applyBorder="1"/>
    <xf numFmtId="0" fontId="0" fillId="0" borderId="0" xfId="0" applyFill="1" applyBorder="1"/>
    <xf numFmtId="0" fontId="0" fillId="0" borderId="0" xfId="1" applyFont="1" applyFill="1" applyBorder="1" applyAlignment="1">
      <alignment vertical="center"/>
    </xf>
    <xf numFmtId="0" fontId="0" fillId="0" borderId="0" xfId="0" applyFill="1" applyBorder="1" applyAlignment="1">
      <alignment vertical="center"/>
    </xf>
    <xf numFmtId="0" fontId="4" fillId="0" borderId="0" xfId="0" applyFont="1" applyFill="1" applyBorder="1"/>
    <xf numFmtId="0" fontId="0" fillId="0" borderId="0" xfId="0" applyFill="1" applyBorder="1" applyAlignment="1">
      <alignment horizontal="left"/>
    </xf>
    <xf numFmtId="0" fontId="0" fillId="0" borderId="0" xfId="2" applyFont="1" applyFill="1" applyBorder="1" applyAlignment="1">
      <alignment horizontal="left" vertical="center"/>
    </xf>
    <xf numFmtId="0" fontId="0" fillId="0" borderId="0" xfId="0" applyFill="1" applyBorder="1" applyAlignment="1">
      <alignment horizontal="center"/>
    </xf>
    <xf numFmtId="0" fontId="19" fillId="37" borderId="0" xfId="0" applyFont="1" applyFill="1"/>
    <xf numFmtId="49" fontId="2" fillId="37" borderId="0" xfId="0" applyNumberFormat="1" applyFont="1" applyFill="1" applyBorder="1" applyAlignment="1">
      <alignment horizontal="center" vertical="center"/>
    </xf>
    <xf numFmtId="49" fontId="2" fillId="37" borderId="22" xfId="0" applyNumberFormat="1" applyFont="1" applyFill="1" applyBorder="1" applyAlignment="1">
      <alignment horizontal="center" vertical="center"/>
    </xf>
    <xf numFmtId="41" fontId="2" fillId="37" borderId="22" xfId="0" applyNumberFormat="1" applyFont="1" applyFill="1" applyBorder="1" applyAlignment="1">
      <alignment horizontal="center" vertical="center"/>
    </xf>
    <xf numFmtId="41" fontId="2" fillId="37" borderId="0" xfId="0" applyNumberFormat="1" applyFont="1" applyFill="1" applyBorder="1" applyAlignment="1">
      <alignment horizontal="center" vertical="center"/>
    </xf>
    <xf numFmtId="165" fontId="2" fillId="37" borderId="22" xfId="0" applyNumberFormat="1" applyFont="1" applyFill="1" applyBorder="1" applyAlignment="1">
      <alignment horizontal="center" vertical="center"/>
    </xf>
    <xf numFmtId="165" fontId="2" fillId="37" borderId="22" xfId="0" applyNumberFormat="1" applyFont="1" applyFill="1" applyBorder="1" applyAlignment="1">
      <alignment horizontal="right" vertical="center"/>
    </xf>
    <xf numFmtId="49" fontId="2" fillId="37" borderId="19" xfId="0" applyNumberFormat="1" applyFont="1" applyFill="1" applyBorder="1" applyAlignment="1">
      <alignment horizontal="center" vertical="center"/>
    </xf>
    <xf numFmtId="0" fontId="0" fillId="0" borderId="0" xfId="1" applyNumberFormat="1" applyFont="1" applyFill="1" applyBorder="1" applyAlignment="1"/>
    <xf numFmtId="0" fontId="0" fillId="0" borderId="7" xfId="0" applyNumberFormat="1" applyFont="1" applyFill="1" applyBorder="1"/>
    <xf numFmtId="0" fontId="0" fillId="4" borderId="0" xfId="0" applyFill="1"/>
    <xf numFmtId="0" fontId="2" fillId="38" borderId="31" xfId="1" applyNumberFormat="1" applyFont="1" applyFill="1" applyBorder="1" applyAlignment="1"/>
    <xf numFmtId="49" fontId="0" fillId="0" borderId="27" xfId="0" applyNumberFormat="1" applyFont="1" applyFill="1" applyBorder="1" applyAlignment="1">
      <alignment horizontal="center"/>
    </xf>
    <xf numFmtId="0" fontId="0" fillId="4" borderId="20" xfId="0" applyFill="1" applyBorder="1"/>
    <xf numFmtId="0" fontId="0" fillId="0" borderId="0" xfId="0" applyNumberFormat="1" applyFont="1" applyBorder="1"/>
    <xf numFmtId="0" fontId="0" fillId="0" borderId="7" xfId="0" applyFont="1" applyFill="1" applyBorder="1" applyAlignment="1">
      <alignment horizontal="left"/>
    </xf>
    <xf numFmtId="0" fontId="4" fillId="4" borderId="7" xfId="0" applyFont="1" applyFill="1" applyBorder="1"/>
    <xf numFmtId="0" fontId="0" fillId="40" borderId="0" xfId="0" applyFill="1" applyBorder="1"/>
    <xf numFmtId="14" fontId="2" fillId="38" borderId="0" xfId="1" applyNumberFormat="1" applyFont="1" applyFill="1" applyBorder="1" applyAlignment="1"/>
    <xf numFmtId="49" fontId="0" fillId="0" borderId="0" xfId="0" applyNumberFormat="1" applyFont="1" applyFill="1" applyBorder="1" applyAlignment="1">
      <alignment horizontal="center"/>
    </xf>
    <xf numFmtId="14" fontId="0" fillId="0" borderId="7" xfId="0" applyNumberFormat="1" applyFont="1" applyFill="1" applyBorder="1"/>
    <xf numFmtId="166" fontId="0" fillId="0" borderId="27" xfId="0" applyNumberFormat="1" applyFont="1" applyFill="1" applyBorder="1"/>
    <xf numFmtId="0" fontId="0" fillId="40" borderId="0" xfId="0" applyFont="1" applyFill="1" applyBorder="1" applyAlignment="1">
      <alignment vertical="center"/>
    </xf>
    <xf numFmtId="0" fontId="3" fillId="0" borderId="7" xfId="0" applyFont="1" applyFill="1" applyBorder="1" applyAlignment="1">
      <alignment horizontal="left" vertical="center"/>
    </xf>
    <xf numFmtId="0" fontId="0" fillId="4" borderId="7" xfId="0" applyNumberFormat="1" applyFont="1" applyFill="1" applyBorder="1"/>
    <xf numFmtId="0" fontId="0" fillId="0" borderId="0" xfId="0" applyFill="1" applyBorder="1" applyAlignment="1">
      <alignment horizontal="center" vertical="center"/>
    </xf>
    <xf numFmtId="14" fontId="2" fillId="0" borderId="0" xfId="1" applyNumberFormat="1" applyFont="1" applyFill="1" applyBorder="1" applyAlignment="1"/>
    <xf numFmtId="0" fontId="0" fillId="0" borderId="7" xfId="1" applyNumberFormat="1" applyFont="1" applyFill="1" applyBorder="1" applyAlignment="1">
      <alignment vertical="center"/>
    </xf>
    <xf numFmtId="0" fontId="2" fillId="38" borderId="0" xfId="1" applyNumberFormat="1" applyFont="1" applyFill="1" applyBorder="1" applyAlignment="1"/>
    <xf numFmtId="0" fontId="2" fillId="38" borderId="0" xfId="1" applyNumberFormat="1" applyFont="1" applyFill="1" applyBorder="1" applyAlignment="1">
      <alignment horizontal="left"/>
    </xf>
    <xf numFmtId="0" fontId="0" fillId="4" borderId="7" xfId="0" applyFont="1" applyFill="1" applyBorder="1"/>
    <xf numFmtId="167" fontId="0" fillId="0" borderId="0" xfId="0" applyNumberFormat="1" applyFont="1" applyFill="1" applyBorder="1"/>
    <xf numFmtId="166" fontId="0" fillId="0" borderId="27" xfId="37" applyNumberFormat="1" applyFont="1" applyFill="1" applyBorder="1"/>
    <xf numFmtId="0" fontId="19" fillId="37" borderId="0" xfId="0" applyFont="1" applyFill="1" applyAlignment="1">
      <alignment horizontal="center" vertical="center"/>
    </xf>
    <xf numFmtId="49" fontId="0" fillId="4" borderId="27" xfId="0" applyNumberFormat="1" applyFont="1" applyFill="1" applyBorder="1" applyAlignment="1">
      <alignment horizontal="center"/>
    </xf>
    <xf numFmtId="0" fontId="0" fillId="0" borderId="27" xfId="0" applyFont="1" applyFill="1" applyBorder="1"/>
    <xf numFmtId="0" fontId="0" fillId="4" borderId="27" xfId="0" applyFont="1" applyFill="1" applyBorder="1" applyAlignment="1">
      <alignment horizontal="center"/>
    </xf>
    <xf numFmtId="165" fontId="0" fillId="4" borderId="27" xfId="0" applyNumberFormat="1" applyFont="1" applyFill="1" applyBorder="1"/>
    <xf numFmtId="15" fontId="0" fillId="4" borderId="27" xfId="0" applyNumberFormat="1" applyFont="1" applyFill="1" applyBorder="1" applyAlignment="1">
      <alignment horizontal="center"/>
    </xf>
    <xf numFmtId="0" fontId="0" fillId="0" borderId="7" xfId="0" applyFont="1" applyFill="1" applyBorder="1"/>
    <xf numFmtId="0" fontId="16" fillId="0" borderId="0" xfId="0" applyFont="1" applyFill="1" applyBorder="1"/>
    <xf numFmtId="0" fontId="0" fillId="0" borderId="7" xfId="2" applyNumberFormat="1" applyFont="1" applyFill="1" applyBorder="1" applyAlignment="1">
      <alignment horizontal="left" vertical="center"/>
    </xf>
    <xf numFmtId="15" fontId="0" fillId="0" borderId="27" xfId="0" applyNumberFormat="1" applyFont="1" applyFill="1" applyBorder="1" applyAlignment="1">
      <alignment horizontal="center"/>
    </xf>
    <xf numFmtId="0" fontId="0" fillId="41" borderId="0" xfId="0" applyFont="1" applyFill="1" applyBorder="1" applyAlignment="1">
      <alignment vertical="center"/>
    </xf>
    <xf numFmtId="15" fontId="0" fillId="0" borderId="0" xfId="0" applyNumberFormat="1" applyFont="1" applyFill="1" applyBorder="1" applyAlignment="1">
      <alignment horizontal="center"/>
    </xf>
    <xf numFmtId="165" fontId="0" fillId="0" borderId="27" xfId="0" applyNumberFormat="1" applyFont="1" applyFill="1" applyBorder="1"/>
    <xf numFmtId="0" fontId="0" fillId="0" borderId="27" xfId="0" applyFont="1" applyFill="1" applyBorder="1" applyAlignment="1">
      <alignment horizontal="center"/>
    </xf>
    <xf numFmtId="167" fontId="0" fillId="0" borderId="27" xfId="0" applyNumberFormat="1" applyFont="1" applyFill="1" applyBorder="1"/>
    <xf numFmtId="49" fontId="2" fillId="0" borderId="0" xfId="0" applyNumberFormat="1" applyFont="1" applyFill="1" applyBorder="1" applyAlignment="1">
      <alignment horizontal="center" vertical="center"/>
    </xf>
    <xf numFmtId="0" fontId="0" fillId="40" borderId="0" xfId="0" applyFill="1" applyBorder="1" applyAlignment="1">
      <alignment vertical="center"/>
    </xf>
    <xf numFmtId="165" fontId="0" fillId="0" borderId="0" xfId="0" applyNumberFormat="1" applyFont="1" applyFill="1" applyBorder="1"/>
    <xf numFmtId="0" fontId="0" fillId="4" borderId="20" xfId="0" applyNumberFormat="1" applyFont="1" applyFill="1" applyBorder="1"/>
    <xf numFmtId="0" fontId="2" fillId="0" borderId="0" xfId="1" applyNumberFormat="1" applyFont="1" applyFill="1" applyBorder="1" applyAlignment="1"/>
    <xf numFmtId="0" fontId="0" fillId="4" borderId="0" xfId="0" applyFill="1" applyBorder="1"/>
    <xf numFmtId="166" fontId="0" fillId="0" borderId="0" xfId="37" applyNumberFormat="1" applyFont="1" applyFill="1" applyBorder="1"/>
    <xf numFmtId="0" fontId="2" fillId="0" borderId="0" xfId="1" applyNumberFormat="1" applyFont="1" applyFill="1" applyBorder="1" applyAlignment="1">
      <alignment horizontal="left"/>
    </xf>
    <xf numFmtId="0" fontId="0" fillId="0" borderId="7" xfId="0" applyFont="1" applyFill="1" applyBorder="1" applyAlignment="1">
      <alignment horizontal="left" vertical="center"/>
    </xf>
    <xf numFmtId="0" fontId="4" fillId="40" borderId="0" xfId="0" applyFont="1" applyFill="1" applyBorder="1"/>
    <xf numFmtId="164" fontId="0" fillId="4" borderId="7" xfId="0" applyNumberFormat="1" applyFont="1" applyFill="1" applyBorder="1"/>
    <xf numFmtId="0" fontId="4" fillId="0" borderId="0" xfId="0" applyFont="1" applyFill="1" applyBorder="1" applyAlignment="1">
      <alignment horizontal="center" vertical="center"/>
    </xf>
    <xf numFmtId="0" fontId="0" fillId="0" borderId="7" xfId="1" applyNumberFormat="1" applyFont="1" applyFill="1" applyBorder="1" applyAlignment="1"/>
    <xf numFmtId="0" fontId="0" fillId="0" borderId="0" xfId="0" applyFont="1" applyFill="1" applyBorder="1" applyAlignment="1">
      <alignment horizontal="center" vertical="center"/>
    </xf>
    <xf numFmtId="0" fontId="0" fillId="0" borderId="7" xfId="0" applyFont="1" applyFill="1" applyBorder="1" applyAlignment="1">
      <alignment horizontal="center"/>
    </xf>
    <xf numFmtId="14" fontId="0" fillId="0" borderId="7" xfId="0" applyNumberFormat="1" applyFill="1" applyBorder="1"/>
    <xf numFmtId="0" fontId="3" fillId="0" borderId="7" xfId="0" applyFont="1" applyFill="1" applyBorder="1"/>
    <xf numFmtId="0" fontId="16" fillId="0" borderId="29" xfId="0" applyFont="1" applyFill="1" applyBorder="1"/>
    <xf numFmtId="0" fontId="0" fillId="4" borderId="7" xfId="1" applyNumberFormat="1" applyFont="1" applyFill="1" applyBorder="1" applyAlignment="1"/>
    <xf numFmtId="0" fontId="4" fillId="41" borderId="0" xfId="0" applyFont="1" applyFill="1" applyBorder="1"/>
    <xf numFmtId="0" fontId="0" fillId="4" borderId="7" xfId="0" applyFill="1" applyBorder="1"/>
    <xf numFmtId="0" fontId="0" fillId="4" borderId="20" xfId="0" applyFont="1" applyFill="1" applyBorder="1"/>
    <xf numFmtId="15" fontId="0" fillId="0" borderId="7" xfId="0" applyNumberFormat="1" applyFont="1" applyFill="1" applyBorder="1" applyAlignment="1">
      <alignment horizontal="center"/>
    </xf>
    <xf numFmtId="0" fontId="0" fillId="0" borderId="0" xfId="1" applyNumberFormat="1" applyFont="1" applyBorder="1" applyAlignment="1"/>
    <xf numFmtId="164" fontId="0" fillId="0" borderId="7" xfId="0" applyNumberFormat="1" applyFont="1" applyFill="1" applyBorder="1"/>
    <xf numFmtId="0" fontId="0" fillId="0" borderId="0" xfId="0" applyFill="1" applyAlignment="1">
      <alignment horizontal="center" vertical="center"/>
    </xf>
    <xf numFmtId="0" fontId="0" fillId="4" borderId="27" xfId="0" applyFont="1" applyFill="1" applyBorder="1"/>
    <xf numFmtId="0" fontId="0" fillId="0" borderId="26" xfId="0" applyFont="1" applyFill="1" applyBorder="1"/>
    <xf numFmtId="0" fontId="0" fillId="0" borderId="0" xfId="0" applyFont="1" applyFill="1" applyBorder="1" applyAlignment="1">
      <alignment horizontal="center"/>
    </xf>
    <xf numFmtId="164" fontId="0" fillId="0" borderId="0" xfId="0" applyNumberFormat="1" applyFont="1" applyBorder="1"/>
    <xf numFmtId="0" fontId="0" fillId="0" borderId="0" xfId="0"/>
    <xf numFmtId="0" fontId="0" fillId="0" borderId="0" xfId="0" applyFont="1" applyBorder="1"/>
    <xf numFmtId="0" fontId="0" fillId="0" borderId="0" xfId="1" applyNumberFormat="1" applyFont="1" applyBorder="1" applyAlignment="1">
      <alignment vertical="center"/>
    </xf>
    <xf numFmtId="0" fontId="0" fillId="0" borderId="7" xfId="0" applyFont="1" applyFill="1" applyBorder="1" applyAlignment="1">
      <alignment vertical="center"/>
    </xf>
    <xf numFmtId="0" fontId="0" fillId="0" borderId="0" xfId="0" applyFont="1" applyFill="1" applyBorder="1" applyAlignment="1">
      <alignment vertical="center"/>
    </xf>
    <xf numFmtId="0" fontId="4" fillId="0" borderId="0" xfId="0" applyFont="1" applyFill="1" applyBorder="1"/>
    <xf numFmtId="0" fontId="0" fillId="0" borderId="0" xfId="0" applyFont="1" applyBorder="1" applyAlignment="1">
      <alignment horizontal="left"/>
    </xf>
    <xf numFmtId="0" fontId="0" fillId="0" borderId="0" xfId="0" applyFont="1" applyFill="1" applyBorder="1"/>
    <xf numFmtId="14" fontId="0" fillId="0" borderId="0" xfId="0" applyNumberFormat="1" applyFont="1" applyFill="1" applyBorder="1"/>
    <xf numFmtId="0" fontId="0" fillId="0" borderId="0" xfId="0" applyFont="1" applyFill="1" applyBorder="1" applyAlignment="1">
      <alignment horizontal="left"/>
    </xf>
    <xf numFmtId="0" fontId="0" fillId="0" borderId="0" xfId="0" applyFill="1" applyBorder="1"/>
    <xf numFmtId="0" fontId="0" fillId="0" borderId="0" xfId="2" applyNumberFormat="1" applyFont="1" applyFill="1" applyBorder="1" applyAlignment="1">
      <alignment horizontal="left" vertical="center"/>
    </xf>
    <xf numFmtId="0" fontId="0" fillId="0" borderId="0" xfId="0" applyNumberFormat="1" applyFont="1" applyFill="1" applyBorder="1"/>
    <xf numFmtId="164" fontId="0" fillId="0" borderId="0" xfId="0" applyNumberFormat="1" applyFont="1" applyFill="1" applyBorder="1"/>
  </cellXfs>
  <cellStyles count="2620">
    <cellStyle name="20% - Accent1" xfId="20" builtinId="30" customBuiltin="1"/>
    <cellStyle name="20% - Accent1 2" xfId="79" xr:uid="{A48D1D25-7F96-4D93-85A9-387193C489A9}"/>
    <cellStyle name="20% - Accent2" xfId="23" builtinId="34" customBuiltin="1"/>
    <cellStyle name="20% - Accent2 2" xfId="83" xr:uid="{F9DECF57-285E-473C-8ABF-BEAE13DDFB54}"/>
    <cellStyle name="20% - Accent3" xfId="26" builtinId="38" customBuiltin="1"/>
    <cellStyle name="20% - Accent3 2" xfId="87" xr:uid="{1C889873-AB49-4910-9531-616CB699BDBE}"/>
    <cellStyle name="20% - Accent4" xfId="29" builtinId="42" customBuiltin="1"/>
    <cellStyle name="20% - Accent4 2" xfId="91" xr:uid="{53B49450-39B7-48CE-8A56-9A690F1C8942}"/>
    <cellStyle name="20% - Accent5" xfId="32" builtinId="46" customBuiltin="1"/>
    <cellStyle name="20% - Accent5 2" xfId="95" xr:uid="{10CCADAD-D746-4617-87AA-0F070B9FBCD0}"/>
    <cellStyle name="20% - Accent6" xfId="35" builtinId="50" customBuiltin="1"/>
    <cellStyle name="20% - Accent6 2" xfId="99" xr:uid="{2ACEA722-5601-41C3-BE4A-F5E25BC896C0}"/>
    <cellStyle name="40% - Accent1" xfId="21" builtinId="31" customBuiltin="1"/>
    <cellStyle name="40% - Accent1 2" xfId="80" xr:uid="{D6D8B3C8-1B52-48D5-90D2-A1971BD329A1}"/>
    <cellStyle name="40% - Accent2" xfId="24" builtinId="35" customBuiltin="1"/>
    <cellStyle name="40% - Accent2 2" xfId="84" xr:uid="{4FA0AAE3-73FE-48AD-9C1F-8779589337C3}"/>
    <cellStyle name="40% - Accent3" xfId="27" builtinId="39" customBuiltin="1"/>
    <cellStyle name="40% - Accent3 2" xfId="88" xr:uid="{816CBF32-8501-41C0-844B-8DC4B418B9F1}"/>
    <cellStyle name="40% - Accent4" xfId="30" builtinId="43" customBuiltin="1"/>
    <cellStyle name="40% - Accent4 2" xfId="92" xr:uid="{C1415DFB-DF6C-4352-B380-BAD7D954CDAB}"/>
    <cellStyle name="40% - Accent5" xfId="33" builtinId="47" customBuiltin="1"/>
    <cellStyle name="40% - Accent5 2" xfId="96" xr:uid="{F7E39AE2-24F1-49B5-80EC-E4986628672F}"/>
    <cellStyle name="40% - Accent6" xfId="36" builtinId="51" customBuiltin="1"/>
    <cellStyle name="40% - Accent6 2" xfId="100" xr:uid="{7F23B763-4427-4089-A69D-A98825A111BD}"/>
    <cellStyle name="60% - Accent1 2" xfId="81" xr:uid="{26AA298D-EA3E-4A24-AE31-5E7EC148DEA7}"/>
    <cellStyle name="60% - Accent2 2" xfId="85" xr:uid="{B7A40D82-8594-4163-9F5F-AF261497B9D4}"/>
    <cellStyle name="60% - Accent3 2" xfId="89" xr:uid="{E0EE9184-DE29-4C62-9F56-772C103C0951}"/>
    <cellStyle name="60% - Accent4 2" xfId="93" xr:uid="{60664CD4-5049-4A35-B431-F48353882338}"/>
    <cellStyle name="60% - Accent5 2" xfId="97" xr:uid="{C5023545-AEC5-4C35-81DA-D7AA9F4062A2}"/>
    <cellStyle name="60% - Accent6 2" xfId="101" xr:uid="{686070B3-32BA-44A0-A922-8904727366DC}"/>
    <cellStyle name="Accent1" xfId="19" builtinId="29" customBuiltin="1"/>
    <cellStyle name="Accent1 2" xfId="78" xr:uid="{421347FC-D211-4123-BF0F-4E944A450311}"/>
    <cellStyle name="Accent2" xfId="22" builtinId="33" customBuiltin="1"/>
    <cellStyle name="Accent2 2" xfId="82" xr:uid="{E9F4BF87-1900-40EA-89B8-8464A8C89513}"/>
    <cellStyle name="Accent3" xfId="25" builtinId="37" customBuiltin="1"/>
    <cellStyle name="Accent3 2" xfId="86" xr:uid="{0DACCACF-72B1-49CE-A5B1-EB97307391DA}"/>
    <cellStyle name="Accent4" xfId="28" builtinId="41" customBuiltin="1"/>
    <cellStyle name="Accent4 2" xfId="90" xr:uid="{29A5EBD0-A774-4147-A47F-40AB4AD064B5}"/>
    <cellStyle name="Accent5" xfId="31" builtinId="45" customBuiltin="1"/>
    <cellStyle name="Accent5 2" xfId="94" xr:uid="{E500F3E3-4BCF-4305-8A24-CAB7FAB51F32}"/>
    <cellStyle name="Accent6" xfId="34" builtinId="49" customBuiltin="1"/>
    <cellStyle name="Accent6 2" xfId="98" xr:uid="{F6F22E7C-6D0A-4617-9403-4E3189818C2C}"/>
    <cellStyle name="Bad" xfId="9" builtinId="27" customBuiltin="1"/>
    <cellStyle name="Bad 2" xfId="68" xr:uid="{3E325333-3A48-4D19-A444-6060FBA01F13}"/>
    <cellStyle name="Calculation" xfId="12" builtinId="22" customBuiltin="1"/>
    <cellStyle name="Calculation 2" xfId="72" xr:uid="{9E2C843E-4961-446E-896B-3C228EFB5AE3}"/>
    <cellStyle name="Check Cell" xfId="14" builtinId="23" customBuiltin="1"/>
    <cellStyle name="Check Cell 2" xfId="74" xr:uid="{2D055A2C-95A5-464F-B7F0-E0CE2B443EAA}"/>
    <cellStyle name="Comma [0] 2" xfId="37" xr:uid="{810EEA88-EF08-4C57-BB65-D764F108CDE2}"/>
    <cellStyle name="Comma [0] 3" xfId="49" xr:uid="{808A77F8-5A2E-4F44-80F5-4C812C377435}"/>
    <cellStyle name="Comma [0] 3 2" xfId="59" xr:uid="{E1DF6691-7F2D-41A7-A3B6-52F347259325}"/>
    <cellStyle name="Comma [0] 3 2 2" xfId="412" xr:uid="{A9F98C30-36E3-443F-89F0-568CF4087905}"/>
    <cellStyle name="Comma [0] 3 2 2 2" xfId="1632" xr:uid="{79419D00-DD87-4A7A-B49E-18CE469445B8}"/>
    <cellStyle name="Comma [0] 3 2 2 2 2" xfId="1690" xr:uid="{D577D36D-F28B-46BF-977F-58988BDC5384}"/>
    <cellStyle name="Comma [0] 3 2 2 3" xfId="1654" xr:uid="{B9F65FE7-4AD7-4537-B742-70F5C4788E4F}"/>
    <cellStyle name="Comma [0] 3 2 2 3 2" xfId="1713" xr:uid="{034A10A4-E75F-4D34-9221-AA78278C2624}"/>
    <cellStyle name="Comma [0] 3 2 2 4" xfId="1664" xr:uid="{0A8E8630-FE8A-476A-9D33-BBE9A1BE7EDB}"/>
    <cellStyle name="Comma [0] 3 2 2 4 2" xfId="2613" xr:uid="{F0AB6D5D-9E81-4471-9288-5878F45C06D7}"/>
    <cellStyle name="Comma [0] 3 2 2 5" xfId="1677" xr:uid="{B432CB96-B782-405D-917F-9451D445BA4D}"/>
    <cellStyle name="Comma [0] 3 2 3" xfId="1620" xr:uid="{8CC342CC-7460-4914-9685-5B721890A115}"/>
    <cellStyle name="Comma [0] 3 2 3 2" xfId="1684" xr:uid="{16FEC934-B7B5-4DAC-A4A8-148B90BB4C52}"/>
    <cellStyle name="Comma [0] 3 2 4" xfId="1650" xr:uid="{6C024B20-2EB1-46B3-978F-2005B91C2841}"/>
    <cellStyle name="Comma [0] 3 2 4 2" xfId="1695" xr:uid="{3ACFA766-C14C-4145-AA08-5DB3810BFF6F}"/>
    <cellStyle name="Comma [0] 3 2 5" xfId="1660" xr:uid="{D8935632-D6E7-4A73-9171-C30E37BE94EA}"/>
    <cellStyle name="Comma [0] 3 2 5 2" xfId="2607" xr:uid="{26EA8EB0-328E-4A20-B9C6-F576094039B4}"/>
    <cellStyle name="Comma [0] 3 2 6" xfId="1673" xr:uid="{96C50E4E-A01D-4812-AF73-DF69E52C53C7}"/>
    <cellStyle name="Comma [0] 3 3" xfId="411" xr:uid="{542452A5-8DBD-4D28-9B26-10C51CA17E4E}"/>
    <cellStyle name="Comma [0] 3 3 2" xfId="1631" xr:uid="{7B26FFDF-60A8-4D87-B8E8-F1C8826E50F0}"/>
    <cellStyle name="Comma [0] 3 3 2 2" xfId="1689" xr:uid="{5568D65E-B222-47B2-8370-6094422A025E}"/>
    <cellStyle name="Comma [0] 3 3 3" xfId="1653" xr:uid="{3E275EEC-DDD7-4F0E-BC0A-D076EABE59ED}"/>
    <cellStyle name="Comma [0] 3 3 3 2" xfId="1712" xr:uid="{3532CB55-AF9F-4DB4-A885-18B2AB338EB4}"/>
    <cellStyle name="Comma [0] 3 3 4" xfId="1663" xr:uid="{27B727E3-D679-40C0-808E-42639717DC5B}"/>
    <cellStyle name="Comma [0] 3 3 4 2" xfId="2612" xr:uid="{2EAD0D25-1D6C-4CC5-BA2A-846FF8F42F08}"/>
    <cellStyle name="Comma [0] 3 3 5" xfId="1676" xr:uid="{C1E43BE4-B8B0-4ADC-9CEF-F384317CF03E}"/>
    <cellStyle name="Comma [0] 3 4" xfId="1619" xr:uid="{604A880C-D706-401F-B26A-4E3522FD4BFD}"/>
    <cellStyle name="Comma [0] 3 4 2" xfId="1683" xr:uid="{1BE524C9-77A4-4B9C-9C85-20A3E8379A7A}"/>
    <cellStyle name="Comma [0] 3 5" xfId="1649" xr:uid="{74CEA588-736A-4CD3-9D52-359164233DC9}"/>
    <cellStyle name="Comma [0] 3 5 2" xfId="1694" xr:uid="{A503C126-48D7-496B-965A-5CEEA0E5F466}"/>
    <cellStyle name="Comma [0] 3 6" xfId="1659" xr:uid="{C9A5D140-8FEA-4EF7-83E9-14194AB8AC6C}"/>
    <cellStyle name="Comma [0] 3 6 2" xfId="2606" xr:uid="{3969BB69-B5EA-4BEE-9A7D-853E308AE1E4}"/>
    <cellStyle name="Comma [0] 3 7" xfId="1672" xr:uid="{65B26038-23AB-4C55-B434-2C5A0FF90EFB}"/>
    <cellStyle name="Comma 10" xfId="1614" xr:uid="{9E3043AF-AB12-4DE6-899D-64A7E0253D5C}"/>
    <cellStyle name="Comma 10 2" xfId="1696" xr:uid="{8F341627-E618-4912-930B-A96114D5F487}"/>
    <cellStyle name="Comma 11" xfId="1615" xr:uid="{F3B939B6-50EA-4317-8375-FF2AE17EB914}"/>
    <cellStyle name="Comma 11 2" xfId="1700" xr:uid="{6D2C7BFD-D2FF-433A-8E72-E41E7F9D7795}"/>
    <cellStyle name="Comma 12" xfId="1616" xr:uid="{7448B321-CD70-4682-9414-EBC7C42BDDE5}"/>
    <cellStyle name="Comma 12 2" xfId="1699" xr:uid="{C7E9BB70-55B7-452F-88A3-638906544184}"/>
    <cellStyle name="Comma 13" xfId="1617" xr:uid="{695DF138-63D8-4FAE-A56B-400B7331EA8E}"/>
    <cellStyle name="Comma 13 2" xfId="2605" xr:uid="{FE3F0966-9563-4EF0-996D-D15423959A7B}"/>
    <cellStyle name="Comma 14" xfId="1618" xr:uid="{2CB564E2-3D66-4C17-8B1E-5E20EAB0C441}"/>
    <cellStyle name="Comma 14 2" xfId="2608" xr:uid="{045DAD84-CC5B-4334-A2C7-819945F402EB}"/>
    <cellStyle name="Comma 15" xfId="1630" xr:uid="{AFE2B5FC-0EDC-4709-85B9-0EC9B05461FE}"/>
    <cellStyle name="Comma 15 2" xfId="2611" xr:uid="{C6334875-9BBE-4837-A35E-F01B696EF9B3}"/>
    <cellStyle name="Comma 16" xfId="1636" xr:uid="{B2F9A260-93AF-41D1-A528-2C721E49B828}"/>
    <cellStyle name="Comma 17" xfId="1643" xr:uid="{A6E37767-5CC9-49D6-BC2C-5723446167B8}"/>
    <cellStyle name="Comma 18" xfId="1646" xr:uid="{F37487D9-12A8-4FDA-A9E5-552B6B63368E}"/>
    <cellStyle name="Comma 19" xfId="1644" xr:uid="{5DA1C4C6-DB91-491B-8896-2C09A1097CA4}"/>
    <cellStyle name="Comma 2" xfId="39" xr:uid="{6D89E8E5-7C3C-45CF-87C2-087954BA6A66}"/>
    <cellStyle name="Comma 2 2" xfId="413" xr:uid="{AEC947D3-4FBF-4B38-9564-F7A800BB2B36}"/>
    <cellStyle name="Comma 2 2 2" xfId="1633" xr:uid="{D02BAE36-3786-4C5A-9F6D-D2342BC4C914}"/>
    <cellStyle name="Comma 2 2 2 2" xfId="1691" xr:uid="{4ECD4DE5-0F6B-47E3-A872-C79DCE9A92C2}"/>
    <cellStyle name="Comma 2 2 3" xfId="1655" xr:uid="{907EEC6F-1473-480A-8D65-8E700642914E}"/>
    <cellStyle name="Comma 2 2 3 2" xfId="1714" xr:uid="{0BE33E64-B1BC-4D48-883E-A8AEEBAF2DB8}"/>
    <cellStyle name="Comma 2 2 4" xfId="1665" xr:uid="{88CBB3FF-25BC-41D0-8574-3AC5BC2CCD12}"/>
    <cellStyle name="Comma 2 2 4 2" xfId="2614" xr:uid="{593350F8-EE3A-4E6D-A88F-3DE74728BA7F}"/>
    <cellStyle name="Comma 2 2 5" xfId="1678" xr:uid="{49C0CE1C-1F95-40B0-805A-DFBD9C786473}"/>
    <cellStyle name="Comma 2 3" xfId="1622" xr:uid="{69A39DB0-F9CC-450C-B2E5-82B57C49775F}"/>
    <cellStyle name="Comma 2 3 2" xfId="1685" xr:uid="{A71980EF-48CC-4C10-98BB-982B002A43F4}"/>
    <cellStyle name="Comma 2 4" xfId="1651" xr:uid="{0A7CECEF-3EB8-4B0E-824E-90C567C76E86}"/>
    <cellStyle name="Comma 2 4 2" xfId="1697" xr:uid="{0365E646-5263-4B90-BF02-A1598390371D}"/>
    <cellStyle name="Comma 2 5" xfId="1661" xr:uid="{49CCE428-8737-493D-AAAA-67886CA62224}"/>
    <cellStyle name="Comma 2 5 2" xfId="2609" xr:uid="{F981CFCB-1713-413A-9FCE-530309717A6F}"/>
    <cellStyle name="Comma 2 6" xfId="1674" xr:uid="{4A26A416-6E53-474B-AD4E-4EE0CD076EDB}"/>
    <cellStyle name="Comma 20" xfId="1641" xr:uid="{31CD4CDE-0AE4-43E1-BA8A-6A05D8424FB4}"/>
    <cellStyle name="Comma 21" xfId="1640" xr:uid="{27E59BE8-5B3F-4B7B-BBE9-08DC4D2B2208}"/>
    <cellStyle name="Comma 22" xfId="1627" xr:uid="{431ADB30-2936-4C42-9D06-60313A3586EB}"/>
    <cellStyle name="Comma 23" xfId="1624" xr:uid="{47778850-6A91-4475-9ADB-366EC2B5D7E0}"/>
    <cellStyle name="Comma 24" xfId="1626" xr:uid="{5F44042B-AD67-4836-BA8D-E33B1FFDFDD6}"/>
    <cellStyle name="Comma 25" xfId="1621" xr:uid="{3F49A5A2-1FAA-46C8-B379-2AACF32CB1FE}"/>
    <cellStyle name="Comma 26" xfId="1629" xr:uid="{35580588-12C3-4862-800B-B9913CA810F7}"/>
    <cellStyle name="Comma 27" xfId="1637" xr:uid="{26A60E6C-7E99-4373-9687-1C1C26D6E504}"/>
    <cellStyle name="Comma 28" xfId="1645" xr:uid="{BEDBDC64-ACD0-4579-A700-A06E1AFB5E62}"/>
    <cellStyle name="Comma 29" xfId="1635" xr:uid="{E903A8BF-4752-4F56-BC51-CAF85C288622}"/>
    <cellStyle name="Comma 3" xfId="187" xr:uid="{37B171DF-9D87-4CF2-8811-CF110CD11033}"/>
    <cellStyle name="Comma 3 2" xfId="414" xr:uid="{33AB6821-4846-46A0-BA85-A0794FB878A8}"/>
    <cellStyle name="Comma 3 2 2" xfId="1634" xr:uid="{E66FA5F9-38C2-48D5-8EF6-7A306039C293}"/>
    <cellStyle name="Comma 3 2 2 2" xfId="1692" xr:uid="{B77B2A27-B0E6-46D0-8A86-0D8773C8BDBD}"/>
    <cellStyle name="Comma 3 2 3" xfId="1656" xr:uid="{0C6AA6E6-BC37-4E23-97D2-D23AC8DDC4A3}"/>
    <cellStyle name="Comma 3 2 3 2" xfId="1715" xr:uid="{A9EB1FA8-764C-4D3B-AD61-0308AA8346A5}"/>
    <cellStyle name="Comma 3 2 4" xfId="1666" xr:uid="{2A675C4D-F496-4D44-B9E0-60F505DF72AF}"/>
    <cellStyle name="Comma 3 2 4 2" xfId="2615" xr:uid="{C8EA281C-7270-4A2B-A0DF-AA62A6436BC2}"/>
    <cellStyle name="Comma 3 2 5" xfId="1679" xr:uid="{38024EE1-E86F-4843-8E90-C31BF1F18A57}"/>
    <cellStyle name="Comma 3 3" xfId="1623" xr:uid="{BBE8BA56-DA8F-4C9A-898F-AE49F08D1A8D}"/>
    <cellStyle name="Comma 3 3 2" xfId="1686" xr:uid="{F7CEBDA2-F12C-41EE-AAD2-10AAA237B717}"/>
    <cellStyle name="Comma 3 4" xfId="1652" xr:uid="{FE21410E-039E-41FE-9188-ED185B62C33D}"/>
    <cellStyle name="Comma 3 4 2" xfId="1698" xr:uid="{353BACD5-0F0B-4825-8471-47BE8765DB33}"/>
    <cellStyle name="Comma 3 5" xfId="1662" xr:uid="{167C95B0-97F7-43BD-9952-F2DBE56ED3CD}"/>
    <cellStyle name="Comma 3 5 2" xfId="2610" xr:uid="{AEB6C072-4D18-4459-833E-5F6D3B16E6B0}"/>
    <cellStyle name="Comma 3 6" xfId="1675" xr:uid="{76438B3E-EA0E-4B6A-8ACF-635DDE6E24A4}"/>
    <cellStyle name="Comma 30" xfId="1639" xr:uid="{8F117EC3-7EF0-4847-AD7C-01A72CC2026C}"/>
    <cellStyle name="Comma 31" xfId="1638" xr:uid="{4DDF13AE-BE6C-43B0-94DA-FF3D6516BB4A}"/>
    <cellStyle name="Comma 32" xfId="1628" xr:uid="{C6F77ECB-798D-45BD-ADD7-E1422E53D009}"/>
    <cellStyle name="Comma 33" xfId="1642" xr:uid="{F7A9C9C5-B0E3-458E-810C-491E923DF975}"/>
    <cellStyle name="Comma 34" xfId="1647" xr:uid="{0D7FB388-D88E-477D-89BB-DA9D228DD672}"/>
    <cellStyle name="Comma 35" xfId="1625" xr:uid="{995D43FF-3DE7-457D-8603-5CA667F56BE0}"/>
    <cellStyle name="Comma 36" xfId="1648" xr:uid="{9F7D3D20-EBB5-4B9F-AA76-E5EF9C074F75}"/>
    <cellStyle name="Comma 37" xfId="1657" xr:uid="{EF8CE326-FD2A-4DB9-A80C-3CE73A5459D7}"/>
    <cellStyle name="Comma 38" xfId="1658" xr:uid="{06AD906B-ECC1-4716-909D-CE862B232FA8}"/>
    <cellStyle name="Comma 39" xfId="1667" xr:uid="{8C325794-42F3-4656-B110-47C9AA731D08}"/>
    <cellStyle name="Comma 4" xfId="42" xr:uid="{62AB2F4C-1925-4506-81DD-BA9A0623ADFB}"/>
    <cellStyle name="Comma 4 2" xfId="1682" xr:uid="{52BAE76B-0DDB-4DFC-A6A9-3C32A4A5B781}"/>
    <cellStyle name="Comma 4 3" xfId="2617" xr:uid="{DF49F361-0528-4CC1-9709-F47176CF7EE8}"/>
    <cellStyle name="Comma 40" xfId="1670" xr:uid="{89E5EFBD-78F0-4CF4-AC0B-B41F3FA917A1}"/>
    <cellStyle name="Comma 41" xfId="1669" xr:uid="{CC4FEBBF-5F65-4F03-8CA9-C6096293D441}"/>
    <cellStyle name="Comma 42" xfId="1668" xr:uid="{53094622-930D-453E-AEFB-B6CB2842F824}"/>
    <cellStyle name="Comma 43" xfId="1671" xr:uid="{C20ECA6C-2743-4097-9557-415F0DFAF50F}"/>
    <cellStyle name="Comma 5" xfId="41" xr:uid="{E1E4EA81-AEF1-4258-A048-DA2438160782}"/>
    <cellStyle name="Comma 5 2" xfId="1681" xr:uid="{D7D65DC0-4145-4DAE-A898-C5A5955B85F7}"/>
    <cellStyle name="Comma 5 3" xfId="2616" xr:uid="{57699977-E208-411B-B94C-71BBC2E9F12B}"/>
    <cellStyle name="Comma 6" xfId="408" xr:uid="{2884A354-EE56-4D4C-9C77-B5EEAACAB62E}"/>
    <cellStyle name="Comma 6 2" xfId="1687" xr:uid="{5D714C39-B004-4750-A5C5-6B9C3485C1E6}"/>
    <cellStyle name="Comma 6 3" xfId="2618" xr:uid="{9440A91C-B7E8-40F8-A39A-271FD6CD489A}"/>
    <cellStyle name="Comma 7" xfId="409" xr:uid="{39CC9EE3-CD9E-4F24-9187-AED88B56D81E}"/>
    <cellStyle name="Comma 7 2" xfId="1688" xr:uid="{C25E3D46-DE72-4D21-889D-E39D31289692}"/>
    <cellStyle name="Comma 7 3" xfId="2619" xr:uid="{E6EA7337-1729-4303-9047-92841DBBEF65}"/>
    <cellStyle name="Comma 8" xfId="40" xr:uid="{C96F0434-9B15-47B4-A339-6B2F9D17F20B}"/>
    <cellStyle name="Comma 8 2" xfId="1680" xr:uid="{F8819F0E-FDBE-4090-85D2-5C4A73DAA1A0}"/>
    <cellStyle name="Comma 9" xfId="410" xr:uid="{7F98D5B5-BF71-459E-9EDA-76B2576641A6}"/>
    <cellStyle name="Comma 9 2" xfId="1693" xr:uid="{BB815553-47A8-4F88-A109-9FA41BE05F16}"/>
    <cellStyle name="Excel Built-in Normal" xfId="1705" xr:uid="{50DA18FA-EC61-4936-8235-EB974AC71859}"/>
    <cellStyle name="Explanatory Text" xfId="17" builtinId="53" customBuiltin="1"/>
    <cellStyle name="Explanatory Text 2" xfId="76" xr:uid="{061B49E8-B2FF-44BB-BB6A-C2FEA00FA7A7}"/>
    <cellStyle name="Good" xfId="8" builtinId="26" customBuiltin="1"/>
    <cellStyle name="Good 2" xfId="67" xr:uid="{2E2907B7-FC23-4A2C-91E8-E0A895426E03}"/>
    <cellStyle name="Heading 1" xfId="4" builtinId="16" customBuiltin="1"/>
    <cellStyle name="Heading 1 2" xfId="63" xr:uid="{27CCBAD9-A432-48C7-BF03-B29D57D9D61E}"/>
    <cellStyle name="Heading 2" xfId="5" builtinId="17" customBuiltin="1"/>
    <cellStyle name="Heading 2 2" xfId="64" xr:uid="{C9506452-7422-4652-B86D-3780FFB93A1D}"/>
    <cellStyle name="Heading 3" xfId="6" builtinId="18" customBuiltin="1"/>
    <cellStyle name="Heading 3 2" xfId="65" xr:uid="{DEF8E408-B527-4940-B8C3-10686A14E242}"/>
    <cellStyle name="Heading 4" xfId="7" builtinId="19" customBuiltin="1"/>
    <cellStyle name="Heading 4 2" xfId="66" xr:uid="{54AF82BB-2AFE-4B60-90E3-7D85DFE99AC3}"/>
    <cellStyle name="Input" xfId="10" builtinId="20" customBuiltin="1"/>
    <cellStyle name="Input 2" xfId="70" xr:uid="{DE7B2CB5-F81A-42EC-80B0-F88A64826721}"/>
    <cellStyle name="Linked Cell" xfId="13" builtinId="24" customBuiltin="1"/>
    <cellStyle name="Linked Cell 2" xfId="73" xr:uid="{9B4759AD-7C68-4561-8929-C6409B9FB4A1}"/>
    <cellStyle name="Neutral 2" xfId="69" xr:uid="{F52CC800-6DC8-4DA8-942E-8DAF58F58F6C}"/>
    <cellStyle name="Normal" xfId="0" builtinId="0"/>
    <cellStyle name="Normal 10 2" xfId="1707" xr:uid="{B41BD538-3DBB-453B-9008-84E156312C57}"/>
    <cellStyle name="Normal 2" xfId="1" xr:uid="{C65C2018-7098-4890-BDC1-0C0E70EAD490}"/>
    <cellStyle name="Normal 2 10" xfId="112" xr:uid="{8E8DF67D-4315-4913-8B82-C07AC1D0D804}"/>
    <cellStyle name="Normal 2 10 2" xfId="288" xr:uid="{F2F03904-15BE-4DC3-8CE8-74DE41361705}"/>
    <cellStyle name="Normal 2 10 2 2" xfId="564" xr:uid="{C8B65E5C-095F-49DD-A571-DD3CA163CA49}"/>
    <cellStyle name="Normal 2 10 2 2 2" xfId="1865" xr:uid="{5432FB9A-6BF6-4D9B-B81C-B073DC84469F}"/>
    <cellStyle name="Normal 2 10 2 3" xfId="874" xr:uid="{C99C5C7F-7478-482F-B675-00711BC992B1}"/>
    <cellStyle name="Normal 2 10 2 3 2" xfId="2175" xr:uid="{7A9FA1B8-0A8B-4B49-8214-C816223CC551}"/>
    <cellStyle name="Normal 2 10 2 4" xfId="1184" xr:uid="{9BF02723-E489-4FA2-948B-3C0DAB3F71A2}"/>
    <cellStyle name="Normal 2 10 2 4 2" xfId="2485" xr:uid="{9DF6E81B-83C6-45E9-A8F7-992648B80637}"/>
    <cellStyle name="Normal 2 10 2 5" xfId="1494" xr:uid="{C4085DCD-34ED-4095-8BF3-C5349C8AF3C3}"/>
    <cellStyle name="Normal 2 10 3" xfId="383" xr:uid="{0D07DE72-736B-437B-AFE5-CC8B125CC9B1}"/>
    <cellStyle name="Normal 2 10 3 2" xfId="659" xr:uid="{C7DD2F0B-8DB1-4120-AFF0-57D93FF01020}"/>
    <cellStyle name="Normal 2 10 3 2 2" xfId="1960" xr:uid="{3EB3A923-8A06-4543-97CA-3A0B7D7BD31A}"/>
    <cellStyle name="Normal 2 10 3 3" xfId="969" xr:uid="{9CAB64B2-0A86-491B-8A27-6F4431CC652A}"/>
    <cellStyle name="Normal 2 10 3 3 2" xfId="2270" xr:uid="{C946EA76-5D3C-4174-B017-D0B60C41F1D4}"/>
    <cellStyle name="Normal 2 10 3 4" xfId="1279" xr:uid="{F2E31648-D758-47C6-AB31-1578BE77B2C8}"/>
    <cellStyle name="Normal 2 10 3 4 2" xfId="2580" xr:uid="{29D95AE6-FE56-4CE7-9B37-8FA9D0FC6474}"/>
    <cellStyle name="Normal 2 10 3 5" xfId="1589" xr:uid="{7C720487-D378-4DF1-B2AD-0D0CBFC60997}"/>
    <cellStyle name="Normal 2 10 4" xfId="172" xr:uid="{F9757C8A-A09B-4D1A-B53A-C6F14DA7A781}"/>
    <cellStyle name="Normal 2 10 4 2" xfId="759" xr:uid="{D94B0405-B692-4340-A1E9-416BEDD8140F}"/>
    <cellStyle name="Normal 2 10 4 2 2" xfId="2060" xr:uid="{BE553631-E517-4465-8932-04901D52ED42}"/>
    <cellStyle name="Normal 2 10 4 3" xfId="1069" xr:uid="{6C049DF3-8620-4B92-ADDB-1EE3BF6191B4}"/>
    <cellStyle name="Normal 2 10 4 3 2" xfId="2370" xr:uid="{F9A75EDC-289D-4CC7-87D7-B33FC43DEF64}"/>
    <cellStyle name="Normal 2 10 4 4" xfId="1379" xr:uid="{0C546367-A041-4933-8AA1-C2C6863A5A10}"/>
    <cellStyle name="Normal 2 10 5" xfId="430" xr:uid="{CB50A150-C900-44EA-91FF-B99358314660}"/>
    <cellStyle name="Normal 2 10 5 2" xfId="1731" xr:uid="{0BD680C0-0DA6-4055-A91F-2E20302B8614}"/>
    <cellStyle name="Normal 2 10 6" xfId="699" xr:uid="{C0A5F2CD-49C7-41DE-BC4E-A0E9E3132EA3}"/>
    <cellStyle name="Normal 2 10 6 2" xfId="2000" xr:uid="{B8B94EAA-C684-459F-A93C-89CB2D5EE203}"/>
    <cellStyle name="Normal 2 10 7" xfId="1009" xr:uid="{D7213276-7D8F-4B5C-B4FA-C685EEA69AEF}"/>
    <cellStyle name="Normal 2 10 7 2" xfId="2310" xr:uid="{31565F3A-89CD-436D-8EEC-B566A626387A}"/>
    <cellStyle name="Normal 2 10 8" xfId="1319" xr:uid="{2E925558-D202-482B-873A-62968C583C89}"/>
    <cellStyle name="Normal 2 11" xfId="38" xr:uid="{EFF07D88-6F88-4B30-9A87-84754B504ABB}"/>
    <cellStyle name="Normal 2 11 2" xfId="51" xr:uid="{FB4CDDAC-4138-4866-98FD-C0FBEFF29FF2}"/>
    <cellStyle name="Normal 2 11 2 5" xfId="1711" xr:uid="{C83D6FCD-1D97-4E1C-9100-98614162F1C2}"/>
    <cellStyle name="Normal 2 11 3" xfId="53" xr:uid="{70B0F059-483A-464C-A607-D8AA2B33441B}"/>
    <cellStyle name="Normal 2 11 4" xfId="43" xr:uid="{1C6623D8-F3BC-4E84-B04F-D79CE664FB22}"/>
    <cellStyle name="Normal 2 12" xfId="188" xr:uid="{82B5ADC1-F61D-4FBC-9FE5-868205FD9667}"/>
    <cellStyle name="Normal 2 12 2" xfId="303" xr:uid="{BFA63E0B-8D39-4BD9-84BB-D26D1F494061}"/>
    <cellStyle name="Normal 2 12 2 2" xfId="579" xr:uid="{9FC2A7CB-8B63-4CB4-B485-42244A3D54EB}"/>
    <cellStyle name="Normal 2 12 2 2 2" xfId="1880" xr:uid="{527A6307-753D-49D4-AB19-16CA679A7885}"/>
    <cellStyle name="Normal 2 12 2 3" xfId="889" xr:uid="{808423BF-51A5-4632-953B-E2B672C875DE}"/>
    <cellStyle name="Normal 2 12 2 3 2" xfId="2190" xr:uid="{FCE498A6-1DA0-44CA-B757-522737C0694D}"/>
    <cellStyle name="Normal 2 12 2 4" xfId="1199" xr:uid="{A77558DB-C8B3-4FBD-847B-5F2FFD305161}"/>
    <cellStyle name="Normal 2 12 2 4 2" xfId="2500" xr:uid="{B6CF79AB-EC0B-4E8D-A4FF-7D5173D6DC79}"/>
    <cellStyle name="Normal 2 12 2 5" xfId="1509" xr:uid="{33A54A73-CA56-4E49-9BF4-B723B7745909}"/>
    <cellStyle name="Normal 2 12 3" xfId="465" xr:uid="{2F40B2F9-9DFE-4F50-8145-FA35ABA19AD6}"/>
    <cellStyle name="Normal 2 12 3 2" xfId="1766" xr:uid="{2AB67477-AF94-4141-8EFD-4752F632AE7F}"/>
    <cellStyle name="Normal 2 12 4" xfId="774" xr:uid="{BF8D5821-0ACD-4DFD-B3FB-BF5739A90F68}"/>
    <cellStyle name="Normal 2 12 4 2" xfId="2075" xr:uid="{1CC2CDF6-BBB0-47B5-BC7B-A1E7D912522B}"/>
    <cellStyle name="Normal 2 12 5" xfId="1084" xr:uid="{A163A5B2-3577-47DE-9277-25526F7988D1}"/>
    <cellStyle name="Normal 2 12 5 2" xfId="2385" xr:uid="{B5F5208A-C811-4CB9-B58D-5D43C2539CD3}"/>
    <cellStyle name="Normal 2 12 6" xfId="1394" xr:uid="{D4858314-8B8D-4344-AD26-39E8094E63E9}"/>
    <cellStyle name="Normal 2 13" xfId="213" xr:uid="{CC8BD3C9-0BA0-4BBC-8FAC-3C11584BC58F}"/>
    <cellStyle name="Normal 2 13 2" xfId="328" xr:uid="{824C71BE-C20E-4536-9518-E2F3B35DD091}"/>
    <cellStyle name="Normal 2 13 2 2" xfId="604" xr:uid="{F7C65B5F-2546-42F9-92BA-7A0EE1986819}"/>
    <cellStyle name="Normal 2 13 2 2 2" xfId="1905" xr:uid="{6171E8A7-08DA-46DC-AE61-394AE5D03356}"/>
    <cellStyle name="Normal 2 13 2 3" xfId="914" xr:uid="{B3E97C9E-6D27-4AB5-9143-C4C91C3657A2}"/>
    <cellStyle name="Normal 2 13 2 3 2" xfId="2215" xr:uid="{2377D626-66A3-42D7-B1C2-FC8B4B976361}"/>
    <cellStyle name="Normal 2 13 2 4" xfId="1224" xr:uid="{82E49017-67D8-43E0-BA3C-2B6FEC56AD59}"/>
    <cellStyle name="Normal 2 13 2 4 2" xfId="2525" xr:uid="{2432D851-4D05-4B87-B3C5-BD633D58286F}"/>
    <cellStyle name="Normal 2 13 2 5" xfId="1534" xr:uid="{C552BF30-C2C0-4F0F-B778-5C8D2BCA7E27}"/>
    <cellStyle name="Normal 2 13 3" xfId="489" xr:uid="{83FA4744-2907-42CB-9D1A-D55B266C7F85}"/>
    <cellStyle name="Normal 2 13 3 2" xfId="1790" xr:uid="{3559EDF0-3856-4AA5-9A80-910518954AF4}"/>
    <cellStyle name="Normal 2 13 4" xfId="799" xr:uid="{1CD89B98-6438-49AD-8C0F-B9F507025E31}"/>
    <cellStyle name="Normal 2 13 4 2" xfId="2100" xr:uid="{9C8C3F3A-9937-42D8-ACF1-374C68E4D618}"/>
    <cellStyle name="Normal 2 13 5" xfId="1109" xr:uid="{717F02C2-1DF0-4ABC-891D-67E62CC86B23}"/>
    <cellStyle name="Normal 2 13 5 2" xfId="2410" xr:uid="{87766DFD-94B9-43D7-A050-72D60F956BF7}"/>
    <cellStyle name="Normal 2 13 6" xfId="1419" xr:uid="{141E7642-87EF-4ACA-A101-B63A856524EF}"/>
    <cellStyle name="Normal 2 14" xfId="228" xr:uid="{5D931508-5921-44CD-B139-C46345CA9E2E}"/>
    <cellStyle name="Normal 2 14 2" xfId="343" xr:uid="{F652D1ED-193F-46E1-94DE-DB0C6CD10E03}"/>
    <cellStyle name="Normal 2 14 2 2" xfId="619" xr:uid="{3C46AAF6-ADDB-42DA-8DD4-0CE5272560D2}"/>
    <cellStyle name="Normal 2 14 2 2 2" xfId="1920" xr:uid="{23EA4546-BC6E-4EF9-8BAF-C5D4B6C0B490}"/>
    <cellStyle name="Normal 2 14 2 3" xfId="929" xr:uid="{768C74CA-9E70-48C4-B041-39C8196C302E}"/>
    <cellStyle name="Normal 2 14 2 3 2" xfId="2230" xr:uid="{35949F81-143F-4311-BE76-BA43BD52BB20}"/>
    <cellStyle name="Normal 2 14 2 4" xfId="1239" xr:uid="{E01FE37C-9DA9-4731-B67A-BFAC50EBCC84}"/>
    <cellStyle name="Normal 2 14 2 4 2" xfId="2540" xr:uid="{BDC0034B-252D-481F-B67B-95E525726EE3}"/>
    <cellStyle name="Normal 2 14 2 5" xfId="1549" xr:uid="{67937CD1-5962-46C1-8E5B-EC7923051BD0}"/>
    <cellStyle name="Normal 2 14 3" xfId="504" xr:uid="{C22A1B3D-010C-453E-AFE9-8DDD8E1C90E2}"/>
    <cellStyle name="Normal 2 14 3 2" xfId="1805" xr:uid="{76334F98-842D-48FB-B22C-87E0BC005986}"/>
    <cellStyle name="Normal 2 14 4" xfId="814" xr:uid="{267C3286-D967-44B5-9F90-D59970395EE0}"/>
    <cellStyle name="Normal 2 14 4 2" xfId="2115" xr:uid="{B754188D-9CE9-4159-B196-645889C638E5}"/>
    <cellStyle name="Normal 2 14 5" xfId="1124" xr:uid="{B56BFBF5-DF92-4072-88AD-D96477274571}"/>
    <cellStyle name="Normal 2 14 5 2" xfId="2425" xr:uid="{9B9D3F94-AE85-4B65-B686-D88284B4D26C}"/>
    <cellStyle name="Normal 2 14 6" xfId="1434" xr:uid="{42A90B67-1DBF-40D7-BDF4-72B24E639D32}"/>
    <cellStyle name="Normal 2 15" xfId="253" xr:uid="{DACD5543-18AF-459E-BDA7-C8D2183E4B79}"/>
    <cellStyle name="Normal 2 15 2" xfId="529" xr:uid="{E5487DEF-A3B9-4FB7-8B42-C7E8FDA023D2}"/>
    <cellStyle name="Normal 2 15 2 2" xfId="1830" xr:uid="{217D45A5-D016-4B21-954A-619D222709D3}"/>
    <cellStyle name="Normal 2 15 3" xfId="839" xr:uid="{CF9CACCD-0D2F-4930-9B38-D852F24B5CF8}"/>
    <cellStyle name="Normal 2 15 3 2" xfId="2140" xr:uid="{8103D4C8-E26B-4EE6-B5E1-5BD61A8752EA}"/>
    <cellStyle name="Normal 2 15 4" xfId="1149" xr:uid="{CD5C48BD-5744-4AA9-8966-6F2DF7A175B4}"/>
    <cellStyle name="Normal 2 15 4 2" xfId="2450" xr:uid="{EC2DA1ED-3169-48DA-8B34-50943A6A7E07}"/>
    <cellStyle name="Normal 2 15 5" xfId="1459" xr:uid="{8ACF728F-6516-4366-A400-71FCCCD67B83}"/>
    <cellStyle name="Normal 2 16" xfId="368" xr:uid="{8B15E2F4-B35B-4948-BC84-ECD04FC468DE}"/>
    <cellStyle name="Normal 2 16 2" xfId="644" xr:uid="{D68FC80B-FA85-4B38-8EEE-E783FC9FC557}"/>
    <cellStyle name="Normal 2 16 2 2" xfId="1945" xr:uid="{B9FB67A6-3364-4D5E-A96A-61EAD9880A6B}"/>
    <cellStyle name="Normal 2 16 3" xfId="954" xr:uid="{D85ACFFD-DA9C-4984-A1D4-F3811DA63996}"/>
    <cellStyle name="Normal 2 16 3 2" xfId="2255" xr:uid="{D98EAA53-2C94-41DF-81C7-951657826B0C}"/>
    <cellStyle name="Normal 2 16 4" xfId="1264" xr:uid="{0854626B-B2C6-4BB2-9C41-053C43DA61B6}"/>
    <cellStyle name="Normal 2 16 4 2" xfId="2565" xr:uid="{AE1363DD-F09D-4ADE-AB48-77FB53B8961C}"/>
    <cellStyle name="Normal 2 16 5" xfId="1574" xr:uid="{4533BAC3-A24B-43D1-93F9-25C8A3D703AC}"/>
    <cellStyle name="Normal 2 17" xfId="137" xr:uid="{1876BBA4-C653-48B6-8684-3592CA8F03F6}"/>
    <cellStyle name="Normal 2 17 2" xfId="724" xr:uid="{8B73A194-5E10-4360-8F21-E263313850B8}"/>
    <cellStyle name="Normal 2 17 2 2" xfId="2025" xr:uid="{4847BD9D-E32B-4EFC-B370-79095F89F7DA}"/>
    <cellStyle name="Normal 2 17 3" xfId="1034" xr:uid="{40A8CF9D-B8B2-4DAA-9813-8BC289DCE274}"/>
    <cellStyle name="Normal 2 17 3 2" xfId="2335" xr:uid="{A1F44E89-FB28-4195-8A9A-EB9A8B6470F4}"/>
    <cellStyle name="Normal 2 17 4" xfId="1344" xr:uid="{6E3662A3-3B2D-4F52-99AA-DB94A7E04207}"/>
    <cellStyle name="Normal 2 18" xfId="415" xr:uid="{92B5D834-B081-4E1E-9677-91B2CB039DB6}"/>
    <cellStyle name="Normal 2 18 2" xfId="1716" xr:uid="{BFB150FA-90EB-48E4-883C-3FD7A3E47D68}"/>
    <cellStyle name="Normal 2 19" xfId="684" xr:uid="{61F41D44-6C20-4086-A084-8D07B51F06CD}"/>
    <cellStyle name="Normal 2 19 2" xfId="1985" xr:uid="{D95EE393-EBF8-4844-AA51-544418FC3766}"/>
    <cellStyle name="Normal 2 2" xfId="48" xr:uid="{6C72CA5A-BB9C-444B-A626-52C4128EE238}"/>
    <cellStyle name="Normal 2 2 2" xfId="1710" xr:uid="{35783ED0-41B8-4144-A4C0-D6981A842988}"/>
    <cellStyle name="Normal 2 2 4 2 3" xfId="1709" xr:uid="{6304D06A-D16F-482A-B1FF-60487F100F36}"/>
    <cellStyle name="Normal 2 20" xfId="994" xr:uid="{6FA1A415-AA5F-4D83-85BB-10111A6BA8A3}"/>
    <cellStyle name="Normal 2 20 2" xfId="2295" xr:uid="{B48273E2-4831-4E25-BF47-8028C22F7DFF}"/>
    <cellStyle name="Normal 2 21" xfId="1304" xr:uid="{88703447-DB86-49C2-BA57-25BDDDA4C113}"/>
    <cellStyle name="Normal 2 22" xfId="47" xr:uid="{6C1DFA15-030F-4DCC-AB75-413DC7D7A42C}"/>
    <cellStyle name="Normal 2 3" xfId="54" xr:uid="{EB891E65-0952-4A84-8B65-81806426B74F}"/>
    <cellStyle name="Normal 2 3 10" xfId="369" xr:uid="{51EAAF4A-BF79-420F-89BC-F50C2F95FFB7}"/>
    <cellStyle name="Normal 2 3 10 2" xfId="645" xr:uid="{03C8145B-23B1-4611-9AC7-D7FDF45162AC}"/>
    <cellStyle name="Normal 2 3 10 2 2" xfId="1946" xr:uid="{B15564A5-5626-43C6-94C9-FF06C629D2B5}"/>
    <cellStyle name="Normal 2 3 10 3" xfId="955" xr:uid="{D03EA760-180B-4760-82BC-45C619E9FE27}"/>
    <cellStyle name="Normal 2 3 10 3 2" xfId="2256" xr:uid="{58AA0707-6A2B-4F2E-BB3E-FF4897EE5C24}"/>
    <cellStyle name="Normal 2 3 10 4" xfId="1265" xr:uid="{BB091552-E83C-4D62-88BB-1ED1B48A2D8D}"/>
    <cellStyle name="Normal 2 3 10 4 2" xfId="2566" xr:uid="{392CB226-CC45-4D80-9231-416DDC76B3C3}"/>
    <cellStyle name="Normal 2 3 10 5" xfId="1575" xr:uid="{FF8C4A9E-32D7-47C8-B331-DF956DBE0FE7}"/>
    <cellStyle name="Normal 2 3 11" xfId="138" xr:uid="{3DBCCA35-26CD-4F62-921E-CCD4F1E74028}"/>
    <cellStyle name="Normal 2 3 11 2" xfId="725" xr:uid="{6CF3CC49-5D7E-4976-B817-FDB9013A3D1C}"/>
    <cellStyle name="Normal 2 3 11 2 2" xfId="2026" xr:uid="{A0EB1000-C247-4D40-84E8-7452E630DC6C}"/>
    <cellStyle name="Normal 2 3 11 3" xfId="1035" xr:uid="{A59FB9E4-937B-4F70-AB09-F074A4055BD8}"/>
    <cellStyle name="Normal 2 3 11 3 2" xfId="2336" xr:uid="{BEDBF84D-D92C-4995-8299-0DB51DD8A54D}"/>
    <cellStyle name="Normal 2 3 11 4" xfId="1345" xr:uid="{CE0CD2E1-357C-4194-8C9D-B8A4E3E237C2}"/>
    <cellStyle name="Normal 2 3 12" xfId="416" xr:uid="{248D3DC8-6707-4EC5-8595-A8FC4DFF08A2}"/>
    <cellStyle name="Normal 2 3 12 2" xfId="1717" xr:uid="{6B1BA03C-AE6D-4EE4-9E4B-606EE4FA69DA}"/>
    <cellStyle name="Normal 2 3 13" xfId="685" xr:uid="{F730A930-B24C-4383-94D3-9A18088761CF}"/>
    <cellStyle name="Normal 2 3 13 2" xfId="1986" xr:uid="{88A3661E-CA50-4B54-9B95-EFB58B16CABB}"/>
    <cellStyle name="Normal 2 3 14" xfId="995" xr:uid="{5553B5F1-40FE-4944-90EB-993EFE211E1F}"/>
    <cellStyle name="Normal 2 3 14 2" xfId="2296" xr:uid="{C8DC29C5-DB61-4F41-AFFB-B32DF4595484}"/>
    <cellStyle name="Normal 2 3 15" xfId="1305" xr:uid="{A39A4AAC-161F-49A9-B1E6-C508201E2685}"/>
    <cellStyle name="Normal 2 3 2" xfId="108" xr:uid="{4B795D54-305F-4D25-974C-D551911BE25E}"/>
    <cellStyle name="Normal 2 3 2 10" xfId="143" xr:uid="{456D520D-7733-421C-8E7F-7AE7975AB8CF}"/>
    <cellStyle name="Normal 2 3 2 10 2" xfId="730" xr:uid="{7C55BFE6-8561-4F01-AAD5-161394A1FE7E}"/>
    <cellStyle name="Normal 2 3 2 10 2 2" xfId="2031" xr:uid="{9862835D-E689-4378-A09F-742BA2A4D108}"/>
    <cellStyle name="Normal 2 3 2 10 3" xfId="1040" xr:uid="{C572E13A-1822-4E28-BC9F-B25E7FD867D5}"/>
    <cellStyle name="Normal 2 3 2 10 3 2" xfId="2341" xr:uid="{47518E5F-FFE3-4FFB-AE25-C72119DBA9C5}"/>
    <cellStyle name="Normal 2 3 2 10 4" xfId="1350" xr:uid="{202DCDE5-1D99-403E-9D23-A6F999C0637C}"/>
    <cellStyle name="Normal 2 3 2 11" xfId="426" xr:uid="{E28EDE42-6269-4999-9F9E-90F8F535497B}"/>
    <cellStyle name="Normal 2 3 2 11 2" xfId="1727" xr:uid="{BEABD1FC-B4CF-4AF2-8B67-B60DB422449F}"/>
    <cellStyle name="Normal 2 3 2 12" xfId="695" xr:uid="{A55943E9-4FD5-4E72-837B-E3DCC90B0AEB}"/>
    <cellStyle name="Normal 2 3 2 12 2" xfId="1996" xr:uid="{C9192146-F54E-4CC9-9FAC-B515C7251C32}"/>
    <cellStyle name="Normal 2 3 2 13" xfId="1005" xr:uid="{EAC6F71D-AFA0-4892-AC65-F575AD17BA60}"/>
    <cellStyle name="Normal 2 3 2 13 2" xfId="2306" xr:uid="{4A73E057-5522-4399-9BB2-0953A58B9930}"/>
    <cellStyle name="Normal 2 3 2 14" xfId="1315" xr:uid="{49763F7D-B10E-417B-9AD5-6AF3B1D00BAA}"/>
    <cellStyle name="Normal 2 3 2 2" xfId="133" xr:uid="{F2E22E5F-905B-484A-813E-6165C9E1FBFF}"/>
    <cellStyle name="Normal 2 3 2 2 10" xfId="1340" xr:uid="{0B950C97-AF99-404F-81D3-7347F57435A5}"/>
    <cellStyle name="Normal 2 3 2 2 2" xfId="209" xr:uid="{F307C283-9C22-4450-A110-C153DEC20C1A}"/>
    <cellStyle name="Normal 2 3 2 2 2 2" xfId="324" xr:uid="{55EA3455-8680-4948-94D3-4D6C57CD6AF6}"/>
    <cellStyle name="Normal 2 3 2 2 2 2 2" xfId="600" xr:uid="{C44E0288-6251-4F3C-A2A7-A4E28DAC0726}"/>
    <cellStyle name="Normal 2 3 2 2 2 2 2 2" xfId="1901" xr:uid="{4E35073F-0797-4A37-8FD2-C2648DE8D7CE}"/>
    <cellStyle name="Normal 2 3 2 2 2 2 3" xfId="910" xr:uid="{5C6CE70D-BA6B-4B8D-89FF-5BC1BB5A4207}"/>
    <cellStyle name="Normal 2 3 2 2 2 2 3 2" xfId="2211" xr:uid="{4C3243BC-0CBC-4A03-9789-2057E03DF4BA}"/>
    <cellStyle name="Normal 2 3 2 2 2 2 4" xfId="1220" xr:uid="{6A9C01CF-48DE-4AEB-95C1-2DAC3371766B}"/>
    <cellStyle name="Normal 2 3 2 2 2 2 4 2" xfId="2521" xr:uid="{42B67442-B64F-4A98-9CCE-522216226389}"/>
    <cellStyle name="Normal 2 3 2 2 2 2 5" xfId="1530" xr:uid="{9BC5FC5B-3201-42EF-94AB-39F796271481}"/>
    <cellStyle name="Normal 2 3 2 2 2 3" xfId="485" xr:uid="{EAAA9AFB-DCE9-4072-BDA3-FE337A85EFB4}"/>
    <cellStyle name="Normal 2 3 2 2 2 3 2" xfId="1786" xr:uid="{177402E2-090F-4214-A13B-82DE72D98672}"/>
    <cellStyle name="Normal 2 3 2 2 2 4" xfId="795" xr:uid="{A54DE6E5-6570-424D-A146-DDF6599B2116}"/>
    <cellStyle name="Normal 2 3 2 2 2 4 2" xfId="2096" xr:uid="{E55088E9-E790-4D11-9B8B-1449E8909089}"/>
    <cellStyle name="Normal 2 3 2 2 2 5" xfId="1105" xr:uid="{0635035A-9A48-493A-A7D4-85654C2F36D2}"/>
    <cellStyle name="Normal 2 3 2 2 2 5 2" xfId="2406" xr:uid="{49C7192D-3705-429C-8CC4-60E1F095AF50}"/>
    <cellStyle name="Normal 2 3 2 2 2 6" xfId="1415" xr:uid="{4A0AC6BA-1330-4934-841D-499CF575F2A1}"/>
    <cellStyle name="Normal 2 3 2 2 3" xfId="249" xr:uid="{66B6A374-861D-4AF2-A4FF-001E21C0EA86}"/>
    <cellStyle name="Normal 2 3 2 2 3 2" xfId="364" xr:uid="{4C2C4D5C-7A08-46B7-BAA9-10340B873EA5}"/>
    <cellStyle name="Normal 2 3 2 2 3 2 2" xfId="640" xr:uid="{B791BE38-F7EC-4EC5-B760-AC1FF03E2BBA}"/>
    <cellStyle name="Normal 2 3 2 2 3 2 2 2" xfId="1941" xr:uid="{F3F95AFB-E69C-4272-8240-59ADDA5D5D43}"/>
    <cellStyle name="Normal 2 3 2 2 3 2 3" xfId="950" xr:uid="{3EF96DEB-F512-4EA7-97E6-EA9550E6CD9D}"/>
    <cellStyle name="Normal 2 3 2 2 3 2 3 2" xfId="2251" xr:uid="{85C488D3-2719-4F27-97B2-7C3D65A78ECE}"/>
    <cellStyle name="Normal 2 3 2 2 3 2 4" xfId="1260" xr:uid="{1961E54F-86C6-4526-888C-06E138B2E57B}"/>
    <cellStyle name="Normal 2 3 2 2 3 2 4 2" xfId="2561" xr:uid="{479E3DAC-5283-441D-9F07-86503688A806}"/>
    <cellStyle name="Normal 2 3 2 2 3 2 5" xfId="1570" xr:uid="{48CED215-BF7A-4754-8F53-5C6682CBBD7C}"/>
    <cellStyle name="Normal 2 3 2 2 3 3" xfId="525" xr:uid="{A29D3505-06A9-4893-AB5E-27AC8442C59A}"/>
    <cellStyle name="Normal 2 3 2 2 3 3 2" xfId="1826" xr:uid="{01C95D2D-9FEF-4082-9571-573DF469CF32}"/>
    <cellStyle name="Normal 2 3 2 2 3 4" xfId="835" xr:uid="{70A2E3B7-9AB5-4137-A584-B82E3DD71C58}"/>
    <cellStyle name="Normal 2 3 2 2 3 4 2" xfId="2136" xr:uid="{3DD96F4E-FFFC-4FC3-A273-C576BF30655D}"/>
    <cellStyle name="Normal 2 3 2 2 3 5" xfId="1145" xr:uid="{29720E78-F4F5-4714-A60B-DAAD45D9AA23}"/>
    <cellStyle name="Normal 2 3 2 2 3 5 2" xfId="2446" xr:uid="{13B37CD6-DE9C-42A5-8875-1D9A881B7DCD}"/>
    <cellStyle name="Normal 2 3 2 2 3 6" xfId="1455" xr:uid="{A349B419-A71A-4A68-B0C9-FB1112F7F93D}"/>
    <cellStyle name="Normal 2 3 2 2 4" xfId="269" xr:uid="{6ED10A33-92D4-4DC7-BE07-F4BEB108F031}"/>
    <cellStyle name="Normal 2 3 2 2 4 2" xfId="545" xr:uid="{BDBBA0D7-8C2F-4C67-B863-EB5249237B6D}"/>
    <cellStyle name="Normal 2 3 2 2 4 2 2" xfId="1846" xr:uid="{D889D8A8-993A-45C8-A4F6-37420602769B}"/>
    <cellStyle name="Normal 2 3 2 2 4 3" xfId="855" xr:uid="{8DF31A18-2300-4B96-B79C-42E27C58DBF2}"/>
    <cellStyle name="Normal 2 3 2 2 4 3 2" xfId="2156" xr:uid="{237347A6-0173-4777-AA5E-60E73EB1A44F}"/>
    <cellStyle name="Normal 2 3 2 2 4 4" xfId="1165" xr:uid="{0B2BF23C-7A44-4B8C-B065-17AFCCDD7AEE}"/>
    <cellStyle name="Normal 2 3 2 2 4 4 2" xfId="2466" xr:uid="{336580F3-FFB7-4B78-A546-4953AD4543B7}"/>
    <cellStyle name="Normal 2 3 2 2 4 5" xfId="1475" xr:uid="{46996AB2-267D-4FAE-A14E-0CB9B8B5DE57}"/>
    <cellStyle name="Normal 2 3 2 2 5" xfId="404" xr:uid="{44DF100D-6F9A-4083-B038-73FDB3B0F7E9}"/>
    <cellStyle name="Normal 2 3 2 2 5 2" xfId="680" xr:uid="{BF450474-467A-44C7-868F-82F0AB04EF5A}"/>
    <cellStyle name="Normal 2 3 2 2 5 2 2" xfId="1981" xr:uid="{17A927EA-41B0-49CE-902C-371733BE0DD9}"/>
    <cellStyle name="Normal 2 3 2 2 5 3" xfId="990" xr:uid="{5739EF94-21AA-4B8A-828C-E1A3AFA8BFF7}"/>
    <cellStyle name="Normal 2 3 2 2 5 3 2" xfId="2291" xr:uid="{4102D3BE-FAF4-4128-B8F9-11C600554A64}"/>
    <cellStyle name="Normal 2 3 2 2 5 4" xfId="1300" xr:uid="{2FFDE2F6-3CDA-4BCB-BACE-1E8A1CE7323E}"/>
    <cellStyle name="Normal 2 3 2 2 5 4 2" xfId="2601" xr:uid="{7CCE2E1F-6C87-4FF2-981D-FABDA1753A13}"/>
    <cellStyle name="Normal 2 3 2 2 5 5" xfId="1610" xr:uid="{6D6E3E28-C2A7-43B2-AC18-70B6D6A352BB}"/>
    <cellStyle name="Normal 2 3 2 2 6" xfId="153" xr:uid="{A47732B7-AEAB-49AA-A750-C74FC0954FB0}"/>
    <cellStyle name="Normal 2 3 2 2 6 2" xfId="740" xr:uid="{C10AF75E-B208-49A0-ACE4-51056D8ABE21}"/>
    <cellStyle name="Normal 2 3 2 2 6 2 2" xfId="2041" xr:uid="{03505CAF-AAEF-43D4-90FB-F46FF244E3ED}"/>
    <cellStyle name="Normal 2 3 2 2 6 3" xfId="1050" xr:uid="{ED3CB8E9-245A-4D45-B2D1-A1F92B8F7C40}"/>
    <cellStyle name="Normal 2 3 2 2 6 3 2" xfId="2351" xr:uid="{6B553569-D0F1-410F-AA1D-5D7ADDD3FE53}"/>
    <cellStyle name="Normal 2 3 2 2 6 4" xfId="1360" xr:uid="{C49F5219-4994-41F3-A80E-49355591C0E8}"/>
    <cellStyle name="Normal 2 3 2 2 7" xfId="451" xr:uid="{C219267E-9DB3-477E-B3DF-1EDEB8486C29}"/>
    <cellStyle name="Normal 2 3 2 2 7 2" xfId="1752" xr:uid="{8BF95A64-8813-4026-BA42-EF398BB4C3C4}"/>
    <cellStyle name="Normal 2 3 2 2 8" xfId="720" xr:uid="{EBD1265C-4617-459A-93E6-1E0551805E98}"/>
    <cellStyle name="Normal 2 3 2 2 8 2" xfId="2021" xr:uid="{00EFF1B5-F31D-4559-9429-0C35C4BDE9CE}"/>
    <cellStyle name="Normal 2 3 2 2 9" xfId="1030" xr:uid="{FD538679-EE15-4F20-AB87-1F874F05D7D0}"/>
    <cellStyle name="Normal 2 3 2 2 9 2" xfId="2331" xr:uid="{EB601ED4-8894-4D7C-AD18-3117C20916C9}"/>
    <cellStyle name="Normal 2 3 2 3" xfId="118" xr:uid="{7FE6C5A5-D5BA-48A5-B80B-6F84836C648A}"/>
    <cellStyle name="Normal 2 3 2 3 2" xfId="284" xr:uid="{896D7FA3-2A48-441F-B236-45C1C8E417AD}"/>
    <cellStyle name="Normal 2 3 2 3 2 2" xfId="560" xr:uid="{678D193C-0879-4C0F-B200-D0EBAF47AB27}"/>
    <cellStyle name="Normal 2 3 2 3 2 2 2" xfId="1861" xr:uid="{8C0DFFF0-49A7-4328-A5A8-EA63B3E40E20}"/>
    <cellStyle name="Normal 2 3 2 3 2 3" xfId="870" xr:uid="{6C1F83C0-6236-43CE-8359-50C71A95B0DB}"/>
    <cellStyle name="Normal 2 3 2 3 2 3 2" xfId="2171" xr:uid="{1550BF0D-1844-48DA-8B00-CF0143A81EEF}"/>
    <cellStyle name="Normal 2 3 2 3 2 4" xfId="1180" xr:uid="{62367876-2E11-4A55-89C5-D3E05E6269E1}"/>
    <cellStyle name="Normal 2 3 2 3 2 4 2" xfId="2481" xr:uid="{66829F14-0F3D-4E10-BE27-4FBDC51BDADF}"/>
    <cellStyle name="Normal 2 3 2 3 2 5" xfId="1490" xr:uid="{A2D200FD-0A99-4136-B5CD-42D624907AB0}"/>
    <cellStyle name="Normal 2 3 2 3 3" xfId="389" xr:uid="{B95A24FA-E889-4AE7-94A6-4EC7CF97AFB9}"/>
    <cellStyle name="Normal 2 3 2 3 3 2" xfId="665" xr:uid="{CD0C909F-C80E-4EB3-A394-DD877F61DB07}"/>
    <cellStyle name="Normal 2 3 2 3 3 2 2" xfId="1966" xr:uid="{7CC40A52-2363-4B0D-AB29-CF49B85CE2ED}"/>
    <cellStyle name="Normal 2 3 2 3 3 3" xfId="975" xr:uid="{4E01589F-95AA-4D0F-9383-719559D644D5}"/>
    <cellStyle name="Normal 2 3 2 3 3 3 2" xfId="2276" xr:uid="{1AB0D819-57B0-4454-94C6-EA532EA13095}"/>
    <cellStyle name="Normal 2 3 2 3 3 4" xfId="1285" xr:uid="{6E3C3983-EE54-403C-B9A7-F426E2C2F457}"/>
    <cellStyle name="Normal 2 3 2 3 3 4 2" xfId="2586" xr:uid="{CDC2ED37-558C-48A9-812B-60F362E1800B}"/>
    <cellStyle name="Normal 2 3 2 3 3 5" xfId="1595" xr:uid="{EDDB7476-6929-4980-A274-93CCFC695A7E}"/>
    <cellStyle name="Normal 2 3 2 3 4" xfId="168" xr:uid="{F1A1B9AE-E37E-4168-A59F-811AB46DBA30}"/>
    <cellStyle name="Normal 2 3 2 3 4 2" xfId="755" xr:uid="{E0ED74AE-D7DA-4E70-B47B-82562F3018C1}"/>
    <cellStyle name="Normal 2 3 2 3 4 2 2" xfId="2056" xr:uid="{65E3A4A1-F49B-4427-827C-61E15E0434E1}"/>
    <cellStyle name="Normal 2 3 2 3 4 3" xfId="1065" xr:uid="{7A4474F8-4AAA-4590-8F04-2C3A37E9889B}"/>
    <cellStyle name="Normal 2 3 2 3 4 3 2" xfId="2366" xr:uid="{5C2333CF-85AA-4A5B-BEED-CAC772744973}"/>
    <cellStyle name="Normal 2 3 2 3 4 4" xfId="1375" xr:uid="{F3B85D30-695A-4A99-A050-3A15DB5E5062}"/>
    <cellStyle name="Normal 2 3 2 3 5" xfId="436" xr:uid="{A8FD354B-28E6-4139-A420-E272FC996E79}"/>
    <cellStyle name="Normal 2 3 2 3 5 2" xfId="1737" xr:uid="{5E325387-D0AB-4F5C-BEE1-BDA5C4A77FEE}"/>
    <cellStyle name="Normal 2 3 2 3 6" xfId="705" xr:uid="{5EE50FCE-0E65-407C-94C7-5A70E78DBAB3}"/>
    <cellStyle name="Normal 2 3 2 3 6 2" xfId="2006" xr:uid="{B1C8CCF0-2A24-459C-8B26-9AE47BD088C9}"/>
    <cellStyle name="Normal 2 3 2 3 7" xfId="1015" xr:uid="{0B82F821-254D-40F9-B66A-F2DF1FD7A595}"/>
    <cellStyle name="Normal 2 3 2 3 7 2" xfId="2316" xr:uid="{48473BFE-1AB1-4DA8-97D3-EE6109860D0B}"/>
    <cellStyle name="Normal 2 3 2 3 8" xfId="1325" xr:uid="{42624912-175A-4713-B33A-331C861B6458}"/>
    <cellStyle name="Normal 2 3 2 4" xfId="183" xr:uid="{390D91FC-9E0C-4CD4-AD9D-D9DAAE9CB2CC}"/>
    <cellStyle name="Normal 2 3 2 4 2" xfId="299" xr:uid="{BD0C6CCF-BEF0-4727-8592-0C5158DAA3DB}"/>
    <cellStyle name="Normal 2 3 2 4 2 2" xfId="575" xr:uid="{B9B86777-6591-4B10-AE24-86E4C52451B2}"/>
    <cellStyle name="Normal 2 3 2 4 2 2 2" xfId="1876" xr:uid="{9E839216-88B9-401E-8978-D522C3B4BA8E}"/>
    <cellStyle name="Normal 2 3 2 4 2 3" xfId="885" xr:uid="{6071E472-A926-4F98-8746-282FBF92167E}"/>
    <cellStyle name="Normal 2 3 2 4 2 3 2" xfId="2186" xr:uid="{5972F19F-80BE-4336-A67E-67F3C5D7EABF}"/>
    <cellStyle name="Normal 2 3 2 4 2 4" xfId="1195" xr:uid="{3576FF3C-E009-4521-8D52-E1AAC48B6BDB}"/>
    <cellStyle name="Normal 2 3 2 4 2 4 2" xfId="2496" xr:uid="{07557F3F-A104-4F03-A337-94C348323FD4}"/>
    <cellStyle name="Normal 2 3 2 4 2 5" xfId="1505" xr:uid="{C0222B0B-FB6A-4144-AF67-3961B8D6C84C}"/>
    <cellStyle name="Normal 2 3 2 4 3" xfId="461" xr:uid="{9B1E2DE8-2F2D-482C-B082-CA9BDF857C9C}"/>
    <cellStyle name="Normal 2 3 2 4 3 2" xfId="1762" xr:uid="{DCD909F4-2F42-4857-9FCB-5A9963D2F3F5}"/>
    <cellStyle name="Normal 2 3 2 4 4" xfId="770" xr:uid="{92D078B0-5778-44B5-AAC8-0909BD0A5C03}"/>
    <cellStyle name="Normal 2 3 2 4 4 2" xfId="2071" xr:uid="{D53DA063-F5F6-4E63-BDF3-71ABB3864FE3}"/>
    <cellStyle name="Normal 2 3 2 4 5" xfId="1080" xr:uid="{BDBF942F-E53E-4773-AC51-4689C9055500}"/>
    <cellStyle name="Normal 2 3 2 4 5 2" xfId="2381" xr:uid="{8AB9F432-215F-4A90-8AC6-C7BF281128CB}"/>
    <cellStyle name="Normal 2 3 2 4 6" xfId="1390" xr:uid="{1D38122E-F49F-49AF-86D2-14F72644E8B7}"/>
    <cellStyle name="Normal 2 3 2 5" xfId="194" xr:uid="{D5299F3B-BFD6-427E-B89A-9FAB58BD2561}"/>
    <cellStyle name="Normal 2 3 2 5 2" xfId="309" xr:uid="{403FF6E0-29E7-41F2-9B49-2828709B06AF}"/>
    <cellStyle name="Normal 2 3 2 5 2 2" xfId="585" xr:uid="{570FCD82-A2B3-4871-966E-6FADA65C2E42}"/>
    <cellStyle name="Normal 2 3 2 5 2 2 2" xfId="1886" xr:uid="{FC866DB3-7F62-433F-A2D5-A41113758072}"/>
    <cellStyle name="Normal 2 3 2 5 2 3" xfId="895" xr:uid="{7920FAE9-0415-4454-8B68-D6CED2178108}"/>
    <cellStyle name="Normal 2 3 2 5 2 3 2" xfId="2196" xr:uid="{981D07A8-6C81-465E-9308-68E4265D3F49}"/>
    <cellStyle name="Normal 2 3 2 5 2 4" xfId="1205" xr:uid="{B74CD21B-F90E-4EB5-800F-91B39D492A20}"/>
    <cellStyle name="Normal 2 3 2 5 2 4 2" xfId="2506" xr:uid="{62D8B104-ED60-494D-A51E-47BFDDF478E2}"/>
    <cellStyle name="Normal 2 3 2 5 2 5" xfId="1515" xr:uid="{0B4CB82D-FE95-488E-B505-524CB04CB069}"/>
    <cellStyle name="Normal 2 3 2 5 3" xfId="470" xr:uid="{ADFDDDFE-BB23-4F9E-89F7-17C068C491FF}"/>
    <cellStyle name="Normal 2 3 2 5 3 2" xfId="1771" xr:uid="{6AB5F41D-7D85-4F89-9174-0A23D9624A9F}"/>
    <cellStyle name="Normal 2 3 2 5 4" xfId="780" xr:uid="{C379040C-1604-4F3A-B32D-6EA8BF161AC0}"/>
    <cellStyle name="Normal 2 3 2 5 4 2" xfId="2081" xr:uid="{50E522E5-A464-4724-9314-A33AFE74924F}"/>
    <cellStyle name="Normal 2 3 2 5 5" xfId="1090" xr:uid="{79D6DE56-08DE-4357-9A8E-6064AF350B98}"/>
    <cellStyle name="Normal 2 3 2 5 5 2" xfId="2391" xr:uid="{90899468-D63F-4391-8BE8-35BF11053C4F}"/>
    <cellStyle name="Normal 2 3 2 5 6" xfId="1400" xr:uid="{18D13662-21B7-4E59-B31A-873D049E7CE4}"/>
    <cellStyle name="Normal 2 3 2 6" xfId="224" xr:uid="{A9F488AF-E048-4219-AF88-3E73F9FACBAD}"/>
    <cellStyle name="Normal 2 3 2 6 2" xfId="339" xr:uid="{5B5CBE4A-87E8-4330-8350-28D80D431ED1}"/>
    <cellStyle name="Normal 2 3 2 6 2 2" xfId="615" xr:uid="{566BBF05-EB73-43D1-BD4B-00FC4057E1F4}"/>
    <cellStyle name="Normal 2 3 2 6 2 2 2" xfId="1916" xr:uid="{81A79312-6098-4053-B0F6-78DC9B97C69E}"/>
    <cellStyle name="Normal 2 3 2 6 2 3" xfId="925" xr:uid="{12788958-981D-4FDB-8D96-77AA4D78C9C6}"/>
    <cellStyle name="Normal 2 3 2 6 2 3 2" xfId="2226" xr:uid="{7036B512-170D-48C8-9E53-640040B37DAA}"/>
    <cellStyle name="Normal 2 3 2 6 2 4" xfId="1235" xr:uid="{E4F39194-D663-4DF8-91BB-3A094A930C94}"/>
    <cellStyle name="Normal 2 3 2 6 2 4 2" xfId="2536" xr:uid="{D3618C79-D673-4BC7-8311-0761F30CF37C}"/>
    <cellStyle name="Normal 2 3 2 6 2 5" xfId="1545" xr:uid="{71180B9A-5420-490F-90D0-0DC23A8BB6E3}"/>
    <cellStyle name="Normal 2 3 2 6 3" xfId="500" xr:uid="{FB4D62DC-67C5-4CF8-9E0A-CE0F2C71F09A}"/>
    <cellStyle name="Normal 2 3 2 6 3 2" xfId="1801" xr:uid="{9801EA66-3B6D-4FCD-A301-23712BA46CD7}"/>
    <cellStyle name="Normal 2 3 2 6 4" xfId="810" xr:uid="{7830E84C-C2B8-4015-A170-E59F9F96972F}"/>
    <cellStyle name="Normal 2 3 2 6 4 2" xfId="2111" xr:uid="{686A9593-C912-4853-911E-A220A279F779}"/>
    <cellStyle name="Normal 2 3 2 6 5" xfId="1120" xr:uid="{B7409448-AFB1-4141-A192-DBCA95B163F4}"/>
    <cellStyle name="Normal 2 3 2 6 5 2" xfId="2421" xr:uid="{AC2F6437-4B24-4D24-8C42-5782F2A2FF3F}"/>
    <cellStyle name="Normal 2 3 2 6 6" xfId="1430" xr:uid="{BC5ECE0E-4B0B-4F11-877C-826978C36C58}"/>
    <cellStyle name="Normal 2 3 2 7" xfId="234" xr:uid="{6D1A2203-1FCC-489A-86EA-9D2A6C9B4D46}"/>
    <cellStyle name="Normal 2 3 2 7 2" xfId="349" xr:uid="{30DB03FE-F836-42E6-B410-C9980DAF642E}"/>
    <cellStyle name="Normal 2 3 2 7 2 2" xfId="625" xr:uid="{A1412F4A-E50D-4372-9199-4BE2E1926266}"/>
    <cellStyle name="Normal 2 3 2 7 2 2 2" xfId="1926" xr:uid="{82691AAB-C402-4008-8D32-5EBAFAF74534}"/>
    <cellStyle name="Normal 2 3 2 7 2 3" xfId="935" xr:uid="{30873078-41F9-4BC7-832A-931EA08F3D32}"/>
    <cellStyle name="Normal 2 3 2 7 2 3 2" xfId="2236" xr:uid="{BF917C8B-4479-49D4-B347-0987F5B94ED1}"/>
    <cellStyle name="Normal 2 3 2 7 2 4" xfId="1245" xr:uid="{BD71F3E1-2BA2-4B2E-91E4-FE89CAEA0B5C}"/>
    <cellStyle name="Normal 2 3 2 7 2 4 2" xfId="2546" xr:uid="{7AE69527-75BB-42B8-A382-C4DE91219721}"/>
    <cellStyle name="Normal 2 3 2 7 2 5" xfId="1555" xr:uid="{323EBB59-034B-4415-BF70-2C6A68090FBC}"/>
    <cellStyle name="Normal 2 3 2 7 3" xfId="510" xr:uid="{8ABC7B17-2BB4-4500-B833-644BD52D9F37}"/>
    <cellStyle name="Normal 2 3 2 7 3 2" xfId="1811" xr:uid="{89DB036F-9347-4E00-AE7D-804D28BB461A}"/>
    <cellStyle name="Normal 2 3 2 7 4" xfId="820" xr:uid="{E4728461-B68D-4F94-A3B8-8EC3EFC6207F}"/>
    <cellStyle name="Normal 2 3 2 7 4 2" xfId="2121" xr:uid="{31FC2510-6D4B-406B-80D8-A1569F7A2E2D}"/>
    <cellStyle name="Normal 2 3 2 7 5" xfId="1130" xr:uid="{5FEDFCA0-B158-4C74-BF97-DB95D2663308}"/>
    <cellStyle name="Normal 2 3 2 7 5 2" xfId="2431" xr:uid="{C7D307C7-E87F-410D-B0FA-2AF8FFEC0393}"/>
    <cellStyle name="Normal 2 3 2 7 6" xfId="1440" xr:uid="{8FBC3D4D-1B7C-4036-90EA-13A739ACB298}"/>
    <cellStyle name="Normal 2 3 2 8" xfId="259" xr:uid="{89595769-88F2-494C-B42B-AF5E34E05523}"/>
    <cellStyle name="Normal 2 3 2 8 2" xfId="535" xr:uid="{40FC55E8-E71E-4C8D-9E48-1275C6E4997D}"/>
    <cellStyle name="Normal 2 3 2 8 2 2" xfId="1836" xr:uid="{9680F149-3AB3-4C5E-82F1-7EA9E2667D5D}"/>
    <cellStyle name="Normal 2 3 2 8 3" xfId="845" xr:uid="{8B11B4B0-62F0-4AD4-868A-50EBF2746C25}"/>
    <cellStyle name="Normal 2 3 2 8 3 2" xfId="2146" xr:uid="{FA297F27-2B4D-46BB-8A4D-8E635D06DD9D}"/>
    <cellStyle name="Normal 2 3 2 8 4" xfId="1155" xr:uid="{287D594B-9E80-4C90-BA5E-80DCA7E130EA}"/>
    <cellStyle name="Normal 2 3 2 8 4 2" xfId="2456" xr:uid="{FEA59CFF-F246-470E-B123-3E1FC6C09367}"/>
    <cellStyle name="Normal 2 3 2 8 5" xfId="1465" xr:uid="{FD7F9659-C122-4F0A-A0CC-1D855E064CDE}"/>
    <cellStyle name="Normal 2 3 2 9" xfId="379" xr:uid="{3E3B346A-5C95-4E5B-A7D7-FA90AA467163}"/>
    <cellStyle name="Normal 2 3 2 9 2" xfId="655" xr:uid="{18358291-84B3-4C5B-8B23-A0A88ECA51C7}"/>
    <cellStyle name="Normal 2 3 2 9 2 2" xfId="1956" xr:uid="{2FE96192-779A-4CD3-A519-35C1CD1C5FA3}"/>
    <cellStyle name="Normal 2 3 2 9 3" xfId="965" xr:uid="{2E847FF5-B9AD-43F7-8287-9F88D75C68B6}"/>
    <cellStyle name="Normal 2 3 2 9 3 2" xfId="2266" xr:uid="{C8A0F6FE-9C5C-40C5-9321-7FCC93C239D5}"/>
    <cellStyle name="Normal 2 3 2 9 4" xfId="1275" xr:uid="{A1BBB2C2-712C-4E76-9478-5F7D268E2A2C}"/>
    <cellStyle name="Normal 2 3 2 9 4 2" xfId="2576" xr:uid="{66412F1B-7A01-4477-93A1-42FCE9669A65}"/>
    <cellStyle name="Normal 2 3 2 9 5" xfId="1585" xr:uid="{17E9072F-07C7-479C-83D6-DD92EB69AA38}"/>
    <cellStyle name="Normal 2 3 3" xfId="103" xr:uid="{1308E5AB-A3F2-4016-B4BB-ED7E7110E931}"/>
    <cellStyle name="Normal 2 3 3 10" xfId="421" xr:uid="{0A223A11-F508-44D1-8179-08AD306F876B}"/>
    <cellStyle name="Normal 2 3 3 10 2" xfId="1722" xr:uid="{CD53FA66-733D-4A39-B0E4-7757C9CFC144}"/>
    <cellStyle name="Normal 2 3 3 11" xfId="690" xr:uid="{0CD514BD-0C71-4C3C-8F2B-A823AB32CD17}"/>
    <cellStyle name="Normal 2 3 3 11 2" xfId="1991" xr:uid="{E1F2720A-8559-4AE5-9B7A-8A3280F029BB}"/>
    <cellStyle name="Normal 2 3 3 12" xfId="1000" xr:uid="{974F99C3-869D-460A-95E9-2544CDD0E381}"/>
    <cellStyle name="Normal 2 3 3 12 2" xfId="2301" xr:uid="{C282C8AC-D1E7-4EBD-A287-030F16C6B7A0}"/>
    <cellStyle name="Normal 2 3 3 13" xfId="1310" xr:uid="{15477310-C226-45D2-9741-4581FE0D53C1}"/>
    <cellStyle name="Normal 2 3 3 2" xfId="128" xr:uid="{C9328EB4-BEE8-4107-BAA3-A853FCC9404D}"/>
    <cellStyle name="Normal 2 3 3 2 2" xfId="279" xr:uid="{7732B69C-8170-49BB-9E5E-B2F6836E5A1C}"/>
    <cellStyle name="Normal 2 3 3 2 2 2" xfId="555" xr:uid="{9B22EB50-07D1-425D-AE15-FDE58A097CA8}"/>
    <cellStyle name="Normal 2 3 3 2 2 2 2" xfId="1856" xr:uid="{CF268565-57B8-4CD8-9E24-A61D9428A754}"/>
    <cellStyle name="Normal 2 3 3 2 2 3" xfId="865" xr:uid="{17995A27-6513-4673-A4D6-6134C45BA8B1}"/>
    <cellStyle name="Normal 2 3 3 2 2 3 2" xfId="2166" xr:uid="{10FF9CD2-E321-4B2C-A8C4-49EBEFF90A31}"/>
    <cellStyle name="Normal 2 3 3 2 2 4" xfId="1175" xr:uid="{7EE240CE-8B63-4C06-A387-305088BEB092}"/>
    <cellStyle name="Normal 2 3 3 2 2 4 2" xfId="2476" xr:uid="{BE0270D6-0BF0-4A6D-9D12-90A27B45BA53}"/>
    <cellStyle name="Normal 2 3 3 2 2 5" xfId="1485" xr:uid="{E4E28C00-7BAA-4407-BEBC-F528B7F59FC0}"/>
    <cellStyle name="Normal 2 3 3 2 3" xfId="399" xr:uid="{94B898CB-A837-499C-9465-60C32639FD5C}"/>
    <cellStyle name="Normal 2 3 3 2 3 2" xfId="675" xr:uid="{DBB5B497-7E61-497F-8531-AEC76C435AC6}"/>
    <cellStyle name="Normal 2 3 3 2 3 2 2" xfId="1976" xr:uid="{9B31A254-4B70-4F51-933C-CA772797AF4C}"/>
    <cellStyle name="Normal 2 3 3 2 3 3" xfId="985" xr:uid="{E4C0912C-9B57-4FBD-B8C4-944E48C5B22D}"/>
    <cellStyle name="Normal 2 3 3 2 3 3 2" xfId="2286" xr:uid="{07CCF2DD-A072-470C-A022-20CE4B2395E8}"/>
    <cellStyle name="Normal 2 3 3 2 3 4" xfId="1295" xr:uid="{27967868-DA42-44BD-9FAF-E8FBCF2FEA2B}"/>
    <cellStyle name="Normal 2 3 3 2 3 4 2" xfId="2596" xr:uid="{60A0C3B0-24E8-4F3E-8C5B-2DEE7C98AC26}"/>
    <cellStyle name="Normal 2 3 3 2 3 5" xfId="1605" xr:uid="{101B57E3-E189-4AB4-BE8B-C72324EE624C}"/>
    <cellStyle name="Normal 2 3 3 2 4" xfId="163" xr:uid="{B4F371FB-465A-4A83-9194-B665DEDF319D}"/>
    <cellStyle name="Normal 2 3 3 2 4 2" xfId="750" xr:uid="{4704D492-0685-4D2C-A2BD-A1C290EAF4CB}"/>
    <cellStyle name="Normal 2 3 3 2 4 2 2" xfId="2051" xr:uid="{B60EEB37-647D-4AD9-A039-248AD60D7F74}"/>
    <cellStyle name="Normal 2 3 3 2 4 3" xfId="1060" xr:uid="{03992D50-9966-408C-A357-E7A92F133A54}"/>
    <cellStyle name="Normal 2 3 3 2 4 3 2" xfId="2361" xr:uid="{F0A6E4C8-F68B-4E6F-8C50-BF691C539798}"/>
    <cellStyle name="Normal 2 3 3 2 4 4" xfId="1370" xr:uid="{0CCB676D-1000-4FEB-859C-3F483DD63FCB}"/>
    <cellStyle name="Normal 2 3 3 2 5" xfId="446" xr:uid="{F9092666-53E8-4BCB-8CCE-2ACD9C1B20E1}"/>
    <cellStyle name="Normal 2 3 3 2 5 2" xfId="1747" xr:uid="{380A124A-9BAA-4F51-A462-447495A1FAC7}"/>
    <cellStyle name="Normal 2 3 3 2 6" xfId="715" xr:uid="{FEA07F14-06DE-4AD8-919D-B946CF510880}"/>
    <cellStyle name="Normal 2 3 3 2 6 2" xfId="2016" xr:uid="{0DE7C4AB-F547-4206-98F4-BCC37A5CCE36}"/>
    <cellStyle name="Normal 2 3 3 2 7" xfId="1025" xr:uid="{C31BC543-492A-47F3-A6A3-7947606E013B}"/>
    <cellStyle name="Normal 2 3 3 2 7 2" xfId="2326" xr:uid="{10631FFF-0575-4979-945A-8C0AB406EF53}"/>
    <cellStyle name="Normal 2 3 3 2 8" xfId="1335" xr:uid="{C82BF4EE-E113-4924-901F-1C89A959376B}"/>
    <cellStyle name="Normal 2 3 3 3" xfId="178" xr:uid="{99EF022F-F1C8-4205-B174-95987A34B750}"/>
    <cellStyle name="Normal 2 3 3 3 2" xfId="294" xr:uid="{296558CC-63E5-4B18-8604-1017DAF3093F}"/>
    <cellStyle name="Normal 2 3 3 3 2 2" xfId="570" xr:uid="{613D2873-39FB-45F4-AC14-D2E9F7C96D56}"/>
    <cellStyle name="Normal 2 3 3 3 2 2 2" xfId="1871" xr:uid="{612C8DCE-B2A2-4889-A7F5-23D2B38F9A4E}"/>
    <cellStyle name="Normal 2 3 3 3 2 3" xfId="880" xr:uid="{BA5C8978-E141-4C62-AD24-F53E848C6BE1}"/>
    <cellStyle name="Normal 2 3 3 3 2 3 2" xfId="2181" xr:uid="{A126CDAA-5540-488D-A3CF-F660C87CDE04}"/>
    <cellStyle name="Normal 2 3 3 3 2 4" xfId="1190" xr:uid="{93100699-5D45-4239-87EE-F4710D00DFB2}"/>
    <cellStyle name="Normal 2 3 3 3 2 4 2" xfId="2491" xr:uid="{927899F4-99D2-4E8D-8C55-A7E3709EC099}"/>
    <cellStyle name="Normal 2 3 3 3 2 5" xfId="1500" xr:uid="{2C3D6C32-FD97-4B12-97FF-B1DE0DEC6F77}"/>
    <cellStyle name="Normal 2 3 3 3 3" xfId="456" xr:uid="{263F78D5-3F83-4540-9836-494BB4860103}"/>
    <cellStyle name="Normal 2 3 3 3 3 2" xfId="1757" xr:uid="{8E77F28C-3926-4D62-8CCF-8B9B2A8BFA70}"/>
    <cellStyle name="Normal 2 3 3 3 4" xfId="765" xr:uid="{3C767389-5D3A-4760-96B5-97FCB0DC0487}"/>
    <cellStyle name="Normal 2 3 3 3 4 2" xfId="2066" xr:uid="{95A4F564-5967-4631-96CD-753B2E06601D}"/>
    <cellStyle name="Normal 2 3 3 3 5" xfId="1075" xr:uid="{980E3021-63E7-49D3-8C62-4BF7AC512C45}"/>
    <cellStyle name="Normal 2 3 3 3 5 2" xfId="2376" xr:uid="{76E97D51-0066-4470-82B4-F61E21B73AA8}"/>
    <cellStyle name="Normal 2 3 3 3 6" xfId="1385" xr:uid="{E6746487-99D4-45A5-892C-0C95FE5C6513}"/>
    <cellStyle name="Normal 2 3 3 4" xfId="204" xr:uid="{4A0FCDE3-0A93-487E-B8D2-45EBA8E3C1DD}"/>
    <cellStyle name="Normal 2 3 3 4 2" xfId="319" xr:uid="{6C556874-A0CE-42B3-A558-BA4DB3033DA6}"/>
    <cellStyle name="Normal 2 3 3 4 2 2" xfId="595" xr:uid="{90785546-6200-491A-B2A3-E53E542D16E5}"/>
    <cellStyle name="Normal 2 3 3 4 2 2 2" xfId="1896" xr:uid="{4E27F047-213E-46EC-829D-078BD4B75235}"/>
    <cellStyle name="Normal 2 3 3 4 2 3" xfId="905" xr:uid="{10344CA0-CFD9-42C0-A2DC-AF337DEB1E49}"/>
    <cellStyle name="Normal 2 3 3 4 2 3 2" xfId="2206" xr:uid="{913AFD0C-722C-463B-8E48-1F35A5A85D0B}"/>
    <cellStyle name="Normal 2 3 3 4 2 4" xfId="1215" xr:uid="{9530FF00-4FC4-4D55-A2E5-ADBBA3D79820}"/>
    <cellStyle name="Normal 2 3 3 4 2 4 2" xfId="2516" xr:uid="{91858EFE-EBA2-4051-9BA8-23566928428A}"/>
    <cellStyle name="Normal 2 3 3 4 2 5" xfId="1525" xr:uid="{53B4759E-A98F-45DB-A0AE-74C0460F559C}"/>
    <cellStyle name="Normal 2 3 3 4 3" xfId="480" xr:uid="{E415D5C5-F61A-4FB0-92DE-7DE45C5DA3E9}"/>
    <cellStyle name="Normal 2 3 3 4 3 2" xfId="1781" xr:uid="{64E6CBD0-73AD-430D-8DBF-32FE173E843D}"/>
    <cellStyle name="Normal 2 3 3 4 4" xfId="790" xr:uid="{0719A19F-8448-4191-B31B-6F84B1BF8C47}"/>
    <cellStyle name="Normal 2 3 3 4 4 2" xfId="2091" xr:uid="{1DBF8CEC-E2FD-46A7-BE97-067EE6807386}"/>
    <cellStyle name="Normal 2 3 3 4 5" xfId="1100" xr:uid="{837E79DD-36D1-4B36-8D9A-0B07B8EA7CCA}"/>
    <cellStyle name="Normal 2 3 3 4 5 2" xfId="2401" xr:uid="{69D886F3-AFF8-42BF-9359-C6B416A6B224}"/>
    <cellStyle name="Normal 2 3 3 4 6" xfId="1410" xr:uid="{7556C86D-9E18-411E-A048-DD538A8015D7}"/>
    <cellStyle name="Normal 2 3 3 5" xfId="219" xr:uid="{83E1F8C0-2C88-4192-8FB0-746F32986C93}"/>
    <cellStyle name="Normal 2 3 3 5 2" xfId="334" xr:uid="{E668CBDD-DFE0-444D-A6F2-2973A09DDD65}"/>
    <cellStyle name="Normal 2 3 3 5 2 2" xfId="610" xr:uid="{CC2E070D-C8E8-4E07-A9C3-CC4C3B98F7DA}"/>
    <cellStyle name="Normal 2 3 3 5 2 2 2" xfId="1911" xr:uid="{DD0DBDF9-07CD-40FF-A5AD-1B893967FDB4}"/>
    <cellStyle name="Normal 2 3 3 5 2 3" xfId="920" xr:uid="{EDF3E4FF-A3BB-4E0F-9C3D-D91930F3AAF0}"/>
    <cellStyle name="Normal 2 3 3 5 2 3 2" xfId="2221" xr:uid="{3495D3A7-9DB5-43A9-AE95-D07CB0C9D019}"/>
    <cellStyle name="Normal 2 3 3 5 2 4" xfId="1230" xr:uid="{F4575776-C01F-4433-9828-BC1FA5EF22BF}"/>
    <cellStyle name="Normal 2 3 3 5 2 4 2" xfId="2531" xr:uid="{86F0BE76-8A8F-42E5-97DD-7D21BABD28FE}"/>
    <cellStyle name="Normal 2 3 3 5 2 5" xfId="1540" xr:uid="{F6648FED-E90C-4D34-ADA6-AB6ABA607D81}"/>
    <cellStyle name="Normal 2 3 3 5 3" xfId="495" xr:uid="{8AAC866B-1640-4BBB-A82E-CF871A53DA93}"/>
    <cellStyle name="Normal 2 3 3 5 3 2" xfId="1796" xr:uid="{015C48F1-2FA2-4CB1-A61F-62F4B63097EB}"/>
    <cellStyle name="Normal 2 3 3 5 4" xfId="805" xr:uid="{DF6A54DF-C8C2-423C-818E-785D2DDA3F91}"/>
    <cellStyle name="Normal 2 3 3 5 4 2" xfId="2106" xr:uid="{F125A62D-647A-4256-B9B1-5880661246D9}"/>
    <cellStyle name="Normal 2 3 3 5 5" xfId="1115" xr:uid="{7E240AEB-A682-400F-81B4-0815275F1E62}"/>
    <cellStyle name="Normal 2 3 3 5 5 2" xfId="2416" xr:uid="{24BFC78F-B3A3-4B74-A781-DA30C3F1BEEB}"/>
    <cellStyle name="Normal 2 3 3 5 6" xfId="1425" xr:uid="{C59FD16C-B618-41C2-9DA1-ADACF373B5B8}"/>
    <cellStyle name="Normal 2 3 3 6" xfId="244" xr:uid="{FBCF4103-344B-4631-B2E5-3785AE954587}"/>
    <cellStyle name="Normal 2 3 3 6 2" xfId="359" xr:uid="{49EB9AA7-6DBF-4237-B98F-A0B38D8A9F3A}"/>
    <cellStyle name="Normal 2 3 3 6 2 2" xfId="635" xr:uid="{58D9E26D-63A3-4764-9DAC-06E6F0DBA545}"/>
    <cellStyle name="Normal 2 3 3 6 2 2 2" xfId="1936" xr:uid="{772C2D05-4281-46F3-974C-6E50F819B2E6}"/>
    <cellStyle name="Normal 2 3 3 6 2 3" xfId="945" xr:uid="{4E649754-7731-492A-9A1A-313C318DD425}"/>
    <cellStyle name="Normal 2 3 3 6 2 3 2" xfId="2246" xr:uid="{C9B0094E-6BE7-45B2-B49C-C336EAE5E39C}"/>
    <cellStyle name="Normal 2 3 3 6 2 4" xfId="1255" xr:uid="{216CD80C-CE04-466F-B43E-E248C453ED77}"/>
    <cellStyle name="Normal 2 3 3 6 2 4 2" xfId="2556" xr:uid="{4F616041-E684-4A3B-A934-437ACCB5FC3F}"/>
    <cellStyle name="Normal 2 3 3 6 2 5" xfId="1565" xr:uid="{D3AFDE25-28D9-474B-9B26-15E3C2CC0FAA}"/>
    <cellStyle name="Normal 2 3 3 6 3" xfId="520" xr:uid="{883152E7-3C4B-41D0-AB82-871595E33E28}"/>
    <cellStyle name="Normal 2 3 3 6 3 2" xfId="1821" xr:uid="{5ABBB4B7-6DA7-4C23-ABD6-0115CDE8954C}"/>
    <cellStyle name="Normal 2 3 3 6 4" xfId="830" xr:uid="{5233241C-BE78-41FD-8332-4FC96CE88E86}"/>
    <cellStyle name="Normal 2 3 3 6 4 2" xfId="2131" xr:uid="{EF5EE9D1-E8AF-4798-ADAB-EB3B284E9091}"/>
    <cellStyle name="Normal 2 3 3 6 5" xfId="1140" xr:uid="{A5837FBF-42B5-400C-A265-1910E568F4B7}"/>
    <cellStyle name="Normal 2 3 3 6 5 2" xfId="2441" xr:uid="{80C8211B-7EE5-480C-B9E7-44DEDE20CE17}"/>
    <cellStyle name="Normal 2 3 3 6 6" xfId="1450" xr:uid="{FC19D6BB-6F8C-4B5B-A3E5-1AC9F2E90C22}"/>
    <cellStyle name="Normal 2 3 3 7" xfId="264" xr:uid="{CBA0A06F-71C4-471C-B6E6-CA9702F55955}"/>
    <cellStyle name="Normal 2 3 3 7 2" xfId="540" xr:uid="{B176A36B-8A91-4AE7-B2EE-673E0216E5EB}"/>
    <cellStyle name="Normal 2 3 3 7 2 2" xfId="1841" xr:uid="{EEFA2688-7718-42A1-BDC7-0B08BCE90ADF}"/>
    <cellStyle name="Normal 2 3 3 7 3" xfId="850" xr:uid="{A60014BD-D3D7-41D9-97D2-DD55F7927215}"/>
    <cellStyle name="Normal 2 3 3 7 3 2" xfId="2151" xr:uid="{52B546FE-360B-4376-BDAD-EE877882915B}"/>
    <cellStyle name="Normal 2 3 3 7 4" xfId="1160" xr:uid="{902BFD91-BB83-4F05-A495-D552383E025B}"/>
    <cellStyle name="Normal 2 3 3 7 4 2" xfId="2461" xr:uid="{DF0B2632-E873-4593-9F2F-FEE0E0EC297B}"/>
    <cellStyle name="Normal 2 3 3 7 5" xfId="1470" xr:uid="{DE82B23B-5AF3-46C2-A998-D29BAE50DA26}"/>
    <cellStyle name="Normal 2 3 3 8" xfId="374" xr:uid="{5ACE9C92-0C46-45C9-B49E-B1A5AE8E4297}"/>
    <cellStyle name="Normal 2 3 3 8 2" xfId="650" xr:uid="{A83E6245-FFF0-43EB-ACF7-8903C56FC9F6}"/>
    <cellStyle name="Normal 2 3 3 8 2 2" xfId="1951" xr:uid="{4C3A31EF-7128-4988-91ED-A7E37566836D}"/>
    <cellStyle name="Normal 2 3 3 8 3" xfId="960" xr:uid="{3DD63722-9B6A-487E-AAC9-0086181F225B}"/>
    <cellStyle name="Normal 2 3 3 8 3 2" xfId="2261" xr:uid="{23103E1E-CC49-46B1-AE42-EB671095D451}"/>
    <cellStyle name="Normal 2 3 3 8 4" xfId="1270" xr:uid="{AFD3AB81-4723-42D8-9DE7-66EA6431FD46}"/>
    <cellStyle name="Normal 2 3 3 8 4 2" xfId="2571" xr:uid="{7BE8A444-3BEE-4666-8B60-DE9B1F20CADF}"/>
    <cellStyle name="Normal 2 3 3 8 5" xfId="1580" xr:uid="{5945A7B0-B1F9-47DF-A14E-68038BBAFC3D}"/>
    <cellStyle name="Normal 2 3 3 9" xfId="148" xr:uid="{3224621D-B981-4C9E-BBF4-D1AC61CB6970}"/>
    <cellStyle name="Normal 2 3 3 9 2" xfId="735" xr:uid="{05DF22A2-DEEC-434C-8EF9-CC5A2A45E7AC}"/>
    <cellStyle name="Normal 2 3 3 9 2 2" xfId="2036" xr:uid="{A39DF952-4D25-43FD-A2BB-EBE463AA8351}"/>
    <cellStyle name="Normal 2 3 3 9 3" xfId="1045" xr:uid="{DD21520B-9D52-4638-993A-E881C02626FA}"/>
    <cellStyle name="Normal 2 3 3 9 3 2" xfId="2346" xr:uid="{92CC2F0E-5AF5-482F-B899-8F61396E447A}"/>
    <cellStyle name="Normal 2 3 3 9 4" xfId="1355" xr:uid="{92FD1522-4F90-48F5-AB3F-54BD935A810E}"/>
    <cellStyle name="Normal 2 3 4" xfId="123" xr:uid="{0DD82ED0-AFA0-4980-9BC8-1B16AC056211}"/>
    <cellStyle name="Normal 2 3 4 10" xfId="1330" xr:uid="{14CF2F0F-C34E-4477-B3E5-4493D78234CA}"/>
    <cellStyle name="Normal 2 3 4 2" xfId="199" xr:uid="{FC9DF13C-9FD6-4354-B95E-5B54FE961182}"/>
    <cellStyle name="Normal 2 3 4 2 2" xfId="314" xr:uid="{ABD638FE-1936-4582-A301-A6F13F9A4C74}"/>
    <cellStyle name="Normal 2 3 4 2 2 2" xfId="590" xr:uid="{2BAA04AF-EA17-48F0-B1C6-363338AA8427}"/>
    <cellStyle name="Normal 2 3 4 2 2 2 2" xfId="1891" xr:uid="{EA0571F5-92AE-4E9B-96EC-A59998203C9A}"/>
    <cellStyle name="Normal 2 3 4 2 2 3" xfId="900" xr:uid="{8B8101FB-C002-4F21-8552-B5D725A0E38F}"/>
    <cellStyle name="Normal 2 3 4 2 2 3 2" xfId="2201" xr:uid="{15144306-362D-4F49-B935-D5C86BFE60BC}"/>
    <cellStyle name="Normal 2 3 4 2 2 4" xfId="1210" xr:uid="{1D21969E-015D-4F8A-AE0C-E313EF09D573}"/>
    <cellStyle name="Normal 2 3 4 2 2 4 2" xfId="2511" xr:uid="{3E32AFE9-B859-475F-8A84-F0A1A835FB81}"/>
    <cellStyle name="Normal 2 3 4 2 2 5" xfId="1520" xr:uid="{1C8E8671-219E-4172-94C0-7AE3B57694AC}"/>
    <cellStyle name="Normal 2 3 4 2 3" xfId="475" xr:uid="{534DEC9D-AC03-40D9-A3BA-56DE9D4D61CF}"/>
    <cellStyle name="Normal 2 3 4 2 3 2" xfId="1776" xr:uid="{2B999069-2091-4D9C-ACB0-BEFEC33BBF85}"/>
    <cellStyle name="Normal 2 3 4 2 4" xfId="785" xr:uid="{0523EECB-D74E-43F3-85B2-F9EC56AFB624}"/>
    <cellStyle name="Normal 2 3 4 2 4 2" xfId="2086" xr:uid="{F91AB4BC-E045-4820-ADD9-5147F1D00E88}"/>
    <cellStyle name="Normal 2 3 4 2 5" xfId="1095" xr:uid="{6B3D97E9-5766-4198-96DB-C3471649EDF7}"/>
    <cellStyle name="Normal 2 3 4 2 5 2" xfId="2396" xr:uid="{CFAE2D35-4DF2-49FC-9B9B-F8CA83C521FF}"/>
    <cellStyle name="Normal 2 3 4 2 6" xfId="1405" xr:uid="{CFD3435F-6EB1-44D4-B420-E4D9A00A5D97}"/>
    <cellStyle name="Normal 2 3 4 3" xfId="239" xr:uid="{3D658AF3-1B76-4476-B728-E710865B93B6}"/>
    <cellStyle name="Normal 2 3 4 3 2" xfId="354" xr:uid="{B320E39E-66F1-4A3B-B459-AD46950C130C}"/>
    <cellStyle name="Normal 2 3 4 3 2 2" xfId="630" xr:uid="{9BC7468F-7F2E-4161-9B90-80C8154BE56A}"/>
    <cellStyle name="Normal 2 3 4 3 2 2 2" xfId="1931" xr:uid="{1C7F3A79-973A-4464-9EE3-F4516BDADBA1}"/>
    <cellStyle name="Normal 2 3 4 3 2 3" xfId="940" xr:uid="{BFD953E3-3C53-4B72-B60E-85D90EC0CFEA}"/>
    <cellStyle name="Normal 2 3 4 3 2 3 2" xfId="2241" xr:uid="{83F1E33B-DFB2-4FB0-A427-2BBB85E2B979}"/>
    <cellStyle name="Normal 2 3 4 3 2 4" xfId="1250" xr:uid="{7B7B5944-2E6E-41D6-87BB-BF00E83070EF}"/>
    <cellStyle name="Normal 2 3 4 3 2 4 2" xfId="2551" xr:uid="{000B8747-FD00-4F07-B4F2-BED57BAD1CD7}"/>
    <cellStyle name="Normal 2 3 4 3 2 5" xfId="1560" xr:uid="{87E6C9C0-8236-458B-A876-986906C3154B}"/>
    <cellStyle name="Normal 2 3 4 3 3" xfId="515" xr:uid="{A4F38F33-29F9-40A8-876C-FAE46E6D49CB}"/>
    <cellStyle name="Normal 2 3 4 3 3 2" xfId="1816" xr:uid="{32CC3AFF-19EB-45DA-91E6-54C9CC506B81}"/>
    <cellStyle name="Normal 2 3 4 3 4" xfId="825" xr:uid="{4079E543-1ED4-4618-88BC-5E54AEA46A55}"/>
    <cellStyle name="Normal 2 3 4 3 4 2" xfId="2126" xr:uid="{8791D6B2-39A4-4434-AAE0-AF28517CCD39}"/>
    <cellStyle name="Normal 2 3 4 3 5" xfId="1135" xr:uid="{40A46781-99EF-42B8-A27B-6E6E272CCF4B}"/>
    <cellStyle name="Normal 2 3 4 3 5 2" xfId="2436" xr:uid="{ED171EA3-E55A-4A65-AE86-3FAB27A597C7}"/>
    <cellStyle name="Normal 2 3 4 3 6" xfId="1445" xr:uid="{8D4E5875-0F40-4564-9814-F6BB41357500}"/>
    <cellStyle name="Normal 2 3 4 4" xfId="274" xr:uid="{A55F17EF-A092-4AC1-8F0C-DB448E00A63D}"/>
    <cellStyle name="Normal 2 3 4 4 2" xfId="550" xr:uid="{8EEACE78-FB26-46B5-BDCD-6995A50C2CFC}"/>
    <cellStyle name="Normal 2 3 4 4 2 2" xfId="1851" xr:uid="{82867AA6-D5E2-4A5D-8547-0BA94A6674D8}"/>
    <cellStyle name="Normal 2 3 4 4 3" xfId="860" xr:uid="{AD5B9F0C-55FD-47E7-B8C0-BF16C50F9BF7}"/>
    <cellStyle name="Normal 2 3 4 4 3 2" xfId="2161" xr:uid="{E59F9203-A3C0-4800-BF4E-65BF53B7E436}"/>
    <cellStyle name="Normal 2 3 4 4 4" xfId="1170" xr:uid="{E36DB97A-A55D-4EB6-A7A7-636FE6E52BDA}"/>
    <cellStyle name="Normal 2 3 4 4 4 2" xfId="2471" xr:uid="{29F8D28F-5E7C-4C2F-835F-8755B7018A8E}"/>
    <cellStyle name="Normal 2 3 4 4 5" xfId="1480" xr:uid="{88AA1BDF-24A9-48AF-A3EC-9EBEF918A456}"/>
    <cellStyle name="Normal 2 3 4 5" xfId="394" xr:uid="{3B4FAE8C-7D70-4E69-8CAE-11E9C7CB4A91}"/>
    <cellStyle name="Normal 2 3 4 5 2" xfId="670" xr:uid="{420E73CD-9985-4507-970F-11B2BD982C3D}"/>
    <cellStyle name="Normal 2 3 4 5 2 2" xfId="1971" xr:uid="{0FC84145-2438-4DCF-A933-4F50C90499BF}"/>
    <cellStyle name="Normal 2 3 4 5 3" xfId="980" xr:uid="{7B73199A-035A-4E9B-8623-5578D858FA0F}"/>
    <cellStyle name="Normal 2 3 4 5 3 2" xfId="2281" xr:uid="{77EAC325-9B62-485F-AE6A-F2E59654A63E}"/>
    <cellStyle name="Normal 2 3 4 5 4" xfId="1290" xr:uid="{CADE4B06-10B4-49B0-8619-DD832EF59E51}"/>
    <cellStyle name="Normal 2 3 4 5 4 2" xfId="2591" xr:uid="{FD0295C0-89EF-4389-8E1F-2E4FF2E0E01D}"/>
    <cellStyle name="Normal 2 3 4 5 5" xfId="1600" xr:uid="{A7DFBB4C-7401-4190-A07B-E08A2FF0B65D}"/>
    <cellStyle name="Normal 2 3 4 6" xfId="158" xr:uid="{71DA1CE6-2A3E-4810-9DC4-A20100A54212}"/>
    <cellStyle name="Normal 2 3 4 6 2" xfId="745" xr:uid="{3D1500F4-F889-4D82-AC92-49E3FCE2229F}"/>
    <cellStyle name="Normal 2 3 4 6 2 2" xfId="2046" xr:uid="{9CB52463-933F-42CE-959F-74FBD77621D6}"/>
    <cellStyle name="Normal 2 3 4 6 3" xfId="1055" xr:uid="{4A9467D5-3C06-4D9B-9EB7-9C59C85BA514}"/>
    <cellStyle name="Normal 2 3 4 6 3 2" xfId="2356" xr:uid="{E4674DBB-0D18-4482-B3BD-0529CBFFEE16}"/>
    <cellStyle name="Normal 2 3 4 6 4" xfId="1365" xr:uid="{72163ABB-A321-4F20-A807-B2B352A4D384}"/>
    <cellStyle name="Normal 2 3 4 7" xfId="441" xr:uid="{1BD412A1-26FF-4A07-982A-E5CD8C406158}"/>
    <cellStyle name="Normal 2 3 4 7 2" xfId="1742" xr:uid="{60DD7F1A-4629-45EE-807D-04CA3DA34FE2}"/>
    <cellStyle name="Normal 2 3 4 8" xfId="710" xr:uid="{90783238-32AE-43D0-84E3-79A05B11ACE6}"/>
    <cellStyle name="Normal 2 3 4 8 2" xfId="2011" xr:uid="{7A4D19F3-CCB1-4EB7-AB49-1854E3CE6733}"/>
    <cellStyle name="Normal 2 3 4 9" xfId="1020" xr:uid="{47258A93-F993-4B09-9BF6-760697BDEBC1}"/>
    <cellStyle name="Normal 2 3 4 9 2" xfId="2321" xr:uid="{3792A5D5-2E52-4FA1-B24F-FD5916F5F672}"/>
    <cellStyle name="Normal 2 3 5" xfId="113" xr:uid="{2BB00A42-E578-4E45-AAA2-2DA7CEBF33F7}"/>
    <cellStyle name="Normal 2 3 5 2" xfId="289" xr:uid="{670BF834-5BB9-42DE-B8D8-F4FAAD2C56C3}"/>
    <cellStyle name="Normal 2 3 5 2 2" xfId="565" xr:uid="{E7D8A58A-6A5A-4F11-BD8C-0969B080E2B0}"/>
    <cellStyle name="Normal 2 3 5 2 2 2" xfId="1866" xr:uid="{7B09E33B-B4F1-4066-91A7-E32E934E243F}"/>
    <cellStyle name="Normal 2 3 5 2 3" xfId="875" xr:uid="{E04D8F05-22AE-4832-90B0-12273A4322FD}"/>
    <cellStyle name="Normal 2 3 5 2 3 2" xfId="2176" xr:uid="{BD93D3C1-59DE-41B1-9B0A-2FD157DBB8EF}"/>
    <cellStyle name="Normal 2 3 5 2 4" xfId="1185" xr:uid="{5633E5FB-9D99-4291-B28E-7FB2E83F753F}"/>
    <cellStyle name="Normal 2 3 5 2 4 2" xfId="2486" xr:uid="{2FAB4E1C-7703-42BF-B400-4A7951F7FC22}"/>
    <cellStyle name="Normal 2 3 5 2 5" xfId="1495" xr:uid="{1B4491E5-6E4E-4D25-B461-B762C55717EF}"/>
    <cellStyle name="Normal 2 3 5 3" xfId="384" xr:uid="{31A684C1-FBE0-4ABA-BA13-401B5662295F}"/>
    <cellStyle name="Normal 2 3 5 3 2" xfId="660" xr:uid="{DB9DF456-C920-4B33-87C6-CA28B4CFA977}"/>
    <cellStyle name="Normal 2 3 5 3 2 2" xfId="1961" xr:uid="{4CB49897-9EA8-4FB7-89BF-6C070C928AC1}"/>
    <cellStyle name="Normal 2 3 5 3 3" xfId="970" xr:uid="{629D8DB4-043A-4BDE-AB81-250BC789A673}"/>
    <cellStyle name="Normal 2 3 5 3 3 2" xfId="2271" xr:uid="{C03818B4-6FDF-4BCB-9119-5661F37E51A6}"/>
    <cellStyle name="Normal 2 3 5 3 4" xfId="1280" xr:uid="{594D2B00-3A91-4BCB-9A12-7D9D45B41E73}"/>
    <cellStyle name="Normal 2 3 5 3 4 2" xfId="2581" xr:uid="{8B82D310-2CF4-4285-AF6B-6276AE8A9883}"/>
    <cellStyle name="Normal 2 3 5 3 5" xfId="1590" xr:uid="{ECA381B2-E275-4685-B103-0F108E02EEE4}"/>
    <cellStyle name="Normal 2 3 5 4" xfId="173" xr:uid="{E1BF4F93-7F65-4C1F-9055-3B6B33B7B101}"/>
    <cellStyle name="Normal 2 3 5 4 2" xfId="760" xr:uid="{BF7F50EF-D57E-488B-BCCE-EA8C0DB7072F}"/>
    <cellStyle name="Normal 2 3 5 4 2 2" xfId="2061" xr:uid="{F817742E-8FA7-4D97-9F6B-12390A52BAEF}"/>
    <cellStyle name="Normal 2 3 5 4 3" xfId="1070" xr:uid="{DC7CB578-10F6-46C9-840D-E26B59A8836E}"/>
    <cellStyle name="Normal 2 3 5 4 3 2" xfId="2371" xr:uid="{4643EE63-D3D1-422A-A4BE-34F809C48441}"/>
    <cellStyle name="Normal 2 3 5 4 4" xfId="1380" xr:uid="{0E15DE13-1B05-4350-8346-7ED6D2B55451}"/>
    <cellStyle name="Normal 2 3 5 5" xfId="431" xr:uid="{84AA6820-EB8F-455B-BD6A-5E5490986601}"/>
    <cellStyle name="Normal 2 3 5 5 2" xfId="1732" xr:uid="{40064F0D-7BB8-44BC-9628-2D1B8208D11B}"/>
    <cellStyle name="Normal 2 3 5 6" xfId="700" xr:uid="{67B3C033-6E4A-41C9-BFF5-58D573ADEF47}"/>
    <cellStyle name="Normal 2 3 5 6 2" xfId="2001" xr:uid="{3CB3473C-6A95-4AE5-9B7F-95685946C953}"/>
    <cellStyle name="Normal 2 3 5 7" xfId="1010" xr:uid="{BAAFDE6E-D237-4304-9725-1B811435E2FE}"/>
    <cellStyle name="Normal 2 3 5 7 2" xfId="2311" xr:uid="{42B10F05-5A98-4295-A2A1-DA951DF51217}"/>
    <cellStyle name="Normal 2 3 5 8" xfId="1320" xr:uid="{27510E8F-90FF-41CC-8AD6-AAAD72B8D1AE}"/>
    <cellStyle name="Normal 2 3 6" xfId="189" xr:uid="{91BEA79C-4CDD-4427-B0E5-D18240E8C2B4}"/>
    <cellStyle name="Normal 2 3 6 2" xfId="304" xr:uid="{5F5F5B0C-F1A2-42DC-8DD8-0B205CAB2691}"/>
    <cellStyle name="Normal 2 3 6 2 2" xfId="580" xr:uid="{FD0DB427-210C-4CAD-BD79-85C8ABE4752A}"/>
    <cellStyle name="Normal 2 3 6 2 2 2" xfId="1881" xr:uid="{3AF73503-69A9-43AE-8760-FC1AFE812D97}"/>
    <cellStyle name="Normal 2 3 6 2 3" xfId="890" xr:uid="{7D7E4219-41D1-485E-AD69-01BB0FBB4080}"/>
    <cellStyle name="Normal 2 3 6 2 3 2" xfId="2191" xr:uid="{E068398F-371D-4EA9-B631-FB9FCE756240}"/>
    <cellStyle name="Normal 2 3 6 2 4" xfId="1200" xr:uid="{6E78FF2E-FC3E-40EC-88A0-511AAFCA525B}"/>
    <cellStyle name="Normal 2 3 6 2 4 2" xfId="2501" xr:uid="{1F47ED4E-F260-4DEF-B2D5-0651E6B315A6}"/>
    <cellStyle name="Normal 2 3 6 2 5" xfId="1510" xr:uid="{C69BDEBA-5472-49CC-83BB-AC89F5A4CB7A}"/>
    <cellStyle name="Normal 2 3 6 3" xfId="466" xr:uid="{49A6013C-FE47-407D-885B-464819DEE804}"/>
    <cellStyle name="Normal 2 3 6 3 2" xfId="1767" xr:uid="{1DE93E9C-287F-43A1-A5B6-D7D7B8CE565C}"/>
    <cellStyle name="Normal 2 3 6 4" xfId="775" xr:uid="{711263F4-F0C3-4488-A9DC-C9840413179F}"/>
    <cellStyle name="Normal 2 3 6 4 2" xfId="2076" xr:uid="{5654E68E-E760-42E3-B517-0DC527312E7D}"/>
    <cellStyle name="Normal 2 3 6 5" xfId="1085" xr:uid="{A11CA559-CC2E-4A59-9607-4C083AAD2F9F}"/>
    <cellStyle name="Normal 2 3 6 5 2" xfId="2386" xr:uid="{FB59FB8B-3F20-498E-AC2C-691DBEF9B797}"/>
    <cellStyle name="Normal 2 3 6 6" xfId="1395" xr:uid="{A3D8F2AF-6FE3-4963-BEDF-F3B4EF9C6658}"/>
    <cellStyle name="Normal 2 3 7" xfId="214" xr:uid="{B287D63F-4048-43F2-AFDC-05DC44F56B8A}"/>
    <cellStyle name="Normal 2 3 7 2" xfId="329" xr:uid="{98C688F1-3B9E-480A-85A4-EB8CEC87B886}"/>
    <cellStyle name="Normal 2 3 7 2 2" xfId="605" xr:uid="{59E04F25-80F5-45EC-9B9F-F9339C9415A9}"/>
    <cellStyle name="Normal 2 3 7 2 2 2" xfId="1906" xr:uid="{3298FFE2-A621-4866-B606-2E60A17CF17D}"/>
    <cellStyle name="Normal 2 3 7 2 3" xfId="915" xr:uid="{A29CD20C-C360-45BF-A244-015BEDFF2EAE}"/>
    <cellStyle name="Normal 2 3 7 2 3 2" xfId="2216" xr:uid="{46EC5178-ADF3-4FAF-9B91-C50C88D398A4}"/>
    <cellStyle name="Normal 2 3 7 2 4" xfId="1225" xr:uid="{9998116E-88F1-4015-B922-6EF4DD463216}"/>
    <cellStyle name="Normal 2 3 7 2 4 2" xfId="2526" xr:uid="{6E4A14CB-77F1-4647-BA78-45DF40D38BEB}"/>
    <cellStyle name="Normal 2 3 7 2 5" xfId="1535" xr:uid="{ACA06CE0-ECC1-4B09-B70B-65B36028F6B9}"/>
    <cellStyle name="Normal 2 3 7 3" xfId="490" xr:uid="{F8B95266-8A4E-4393-9191-336FEE2087AA}"/>
    <cellStyle name="Normal 2 3 7 3 2" xfId="1791" xr:uid="{D86F4520-D9DF-4281-A4A9-89D3EA9B913F}"/>
    <cellStyle name="Normal 2 3 7 4" xfId="800" xr:uid="{326CF237-5100-47C7-A6EC-C8C8F145C805}"/>
    <cellStyle name="Normal 2 3 7 4 2" xfId="2101" xr:uid="{A6752015-D96B-4F23-BA19-FB726BBB4EF2}"/>
    <cellStyle name="Normal 2 3 7 5" xfId="1110" xr:uid="{F432AE7A-9796-481B-85FD-54EB34470FED}"/>
    <cellStyle name="Normal 2 3 7 5 2" xfId="2411" xr:uid="{77590634-ADAB-4FC5-A5EC-1F0F10A19D46}"/>
    <cellStyle name="Normal 2 3 7 6" xfId="1420" xr:uid="{64257BA9-BE1E-4DBA-9A0E-78D50FC36036}"/>
    <cellStyle name="Normal 2 3 8" xfId="229" xr:uid="{6150B56A-442E-43CB-8986-E6BA8B4E1BBA}"/>
    <cellStyle name="Normal 2 3 8 2" xfId="344" xr:uid="{B07C2253-D2C0-4CC0-AACE-811797E70B09}"/>
    <cellStyle name="Normal 2 3 8 2 2" xfId="620" xr:uid="{526B46B2-8279-48B0-9864-28F86E18CEC8}"/>
    <cellStyle name="Normal 2 3 8 2 2 2" xfId="1921" xr:uid="{ACE0CA51-2A53-446B-BDDD-7FC59CA932DE}"/>
    <cellStyle name="Normal 2 3 8 2 3" xfId="930" xr:uid="{FE02C380-80CC-4BEB-85FB-266E3F0D8B3A}"/>
    <cellStyle name="Normal 2 3 8 2 3 2" xfId="2231" xr:uid="{3CBBAC75-C630-48FF-86DD-A4896EDF86C3}"/>
    <cellStyle name="Normal 2 3 8 2 4" xfId="1240" xr:uid="{E1B992AB-81CF-4A5D-9E5A-AF7CCBB4CB8E}"/>
    <cellStyle name="Normal 2 3 8 2 4 2" xfId="2541" xr:uid="{4C2F73B4-E0EF-43C7-B4EC-9D520D2D04D0}"/>
    <cellStyle name="Normal 2 3 8 2 5" xfId="1550" xr:uid="{976038B8-217B-4559-BAA0-D15C93D20D3D}"/>
    <cellStyle name="Normal 2 3 8 3" xfId="505" xr:uid="{4C128F7E-3F7B-414C-9B35-D3509A8DF8A5}"/>
    <cellStyle name="Normal 2 3 8 3 2" xfId="1806" xr:uid="{8AA38386-613D-4A8F-B207-C7A760E1C9C2}"/>
    <cellStyle name="Normal 2 3 8 4" xfId="815" xr:uid="{4DC06E03-D9A7-4E44-9AF3-86EEAE442E55}"/>
    <cellStyle name="Normal 2 3 8 4 2" xfId="2116" xr:uid="{308C1D55-8CAA-4414-9B11-EC9A449FC0D8}"/>
    <cellStyle name="Normal 2 3 8 5" xfId="1125" xr:uid="{D7B3D9F9-68D3-43D8-8DB0-81B311331E4E}"/>
    <cellStyle name="Normal 2 3 8 5 2" xfId="2426" xr:uid="{F8780560-3C84-452D-836D-394A437168A3}"/>
    <cellStyle name="Normal 2 3 8 6" xfId="1435" xr:uid="{E649009D-761B-4D88-9B8B-ABB0B8ACD327}"/>
    <cellStyle name="Normal 2 3 9" xfId="254" xr:uid="{33CBEB99-1411-40F3-8A3F-581A3BB4655C}"/>
    <cellStyle name="Normal 2 3 9 2" xfId="530" xr:uid="{6A53461D-08DD-4775-8842-27B014B6797B}"/>
    <cellStyle name="Normal 2 3 9 2 2" xfId="1831" xr:uid="{E7C9CEF2-CC8C-4EA3-8376-D7C73949C4B6}"/>
    <cellStyle name="Normal 2 3 9 3" xfId="840" xr:uid="{12F6FED9-0D0F-47F2-8F28-C4BDC1DCC10D}"/>
    <cellStyle name="Normal 2 3 9 3 2" xfId="2141" xr:uid="{23751E59-6F38-42A6-81B9-4D8F7FBAD6F0}"/>
    <cellStyle name="Normal 2 3 9 4" xfId="1150" xr:uid="{8134D4DF-646A-43B8-A49A-1234EB0D898D}"/>
    <cellStyle name="Normal 2 3 9 4 2" xfId="2451" xr:uid="{EE690EBE-66B2-4CB6-8A7F-A427ADA247D5}"/>
    <cellStyle name="Normal 2 3 9 5" xfId="1460" xr:uid="{B5404649-B5AD-44AE-971D-70727733E216}"/>
    <cellStyle name="Normal 2 4" xfId="52" xr:uid="{CA6AFC29-0B64-4237-A9A4-670A659337F6}"/>
    <cellStyle name="Normal 2 4 2" xfId="60" xr:uid="{1BD5D537-74B2-42FE-9BAA-87FE191EBC0A}"/>
    <cellStyle name="Normal 2 4 3" xfId="56" xr:uid="{9AC54275-110E-4296-B5F2-F14E5787BD2B}"/>
    <cellStyle name="Normal 2 4 3 10" xfId="144" xr:uid="{F4ACF1E3-32E1-4C3F-955D-90B8C0807899}"/>
    <cellStyle name="Normal 2 4 3 10 2" xfId="731" xr:uid="{096C6F65-884D-4400-855F-F39ADC7B1E22}"/>
    <cellStyle name="Normal 2 4 3 10 2 2" xfId="2032" xr:uid="{C706014E-641B-473F-9850-6746702AEE63}"/>
    <cellStyle name="Normal 2 4 3 10 3" xfId="1041" xr:uid="{279F59A6-E65D-42B1-8EC2-5EBB4AF79B46}"/>
    <cellStyle name="Normal 2 4 3 10 3 2" xfId="2342" xr:uid="{0C7FC722-AE49-4E1F-8C43-32928C0F231C}"/>
    <cellStyle name="Normal 2 4 3 10 4" xfId="1351" xr:uid="{5BF7A64C-FD5F-46E1-B6BA-E1E94012E288}"/>
    <cellStyle name="Normal 2 4 3 11" xfId="417" xr:uid="{E9870B18-BD82-484C-BF5F-63DD272C1AD2}"/>
    <cellStyle name="Normal 2 4 3 11 2" xfId="1718" xr:uid="{FA1A45FB-4792-4037-ACD5-5CDA8E7890FD}"/>
    <cellStyle name="Normal 2 4 3 12" xfId="686" xr:uid="{6F0227B8-28B8-4F7A-A352-C71A81079915}"/>
    <cellStyle name="Normal 2 4 3 12 2" xfId="1987" xr:uid="{C02FD8AF-FC22-44BE-8A3A-7AAB7705FEFE}"/>
    <cellStyle name="Normal 2 4 3 13" xfId="996" xr:uid="{A538E742-3407-4505-AAA9-32FD4CFD1CEE}"/>
    <cellStyle name="Normal 2 4 3 13 2" xfId="2297" xr:uid="{59CEC7E0-A274-49D9-9F41-EBA5A726AFDA}"/>
    <cellStyle name="Normal 2 4 3 14" xfId="1306" xr:uid="{5DDE84F7-1C03-406C-B3AE-DC2808FBB60A}"/>
    <cellStyle name="Normal 2 4 3 2" xfId="109" xr:uid="{D8CC5658-AA70-48D9-8F72-D61BFDC5532E}"/>
    <cellStyle name="Normal 2 4 3 2 10" xfId="427" xr:uid="{69CFB406-D68C-496E-9831-D5A3FF0F30AB}"/>
    <cellStyle name="Normal 2 4 3 2 10 2" xfId="1728" xr:uid="{A729E8D6-869B-4C6E-BF01-EA16F88D4C76}"/>
    <cellStyle name="Normal 2 4 3 2 11" xfId="696" xr:uid="{81FEF893-67FD-4B21-9FDD-619F94FEF9AA}"/>
    <cellStyle name="Normal 2 4 3 2 11 2" xfId="1997" xr:uid="{5BE65F84-880B-492E-8012-60AFA698332F}"/>
    <cellStyle name="Normal 2 4 3 2 12" xfId="1006" xr:uid="{BE98F425-B1AB-4D04-A6D2-8F786577305E}"/>
    <cellStyle name="Normal 2 4 3 2 12 2" xfId="2307" xr:uid="{A109EFCE-5E6E-443C-B6B0-19F0CB772160}"/>
    <cellStyle name="Normal 2 4 3 2 13" xfId="1316" xr:uid="{49917262-E6AF-445B-8ACB-BB1CC21A4221}"/>
    <cellStyle name="Normal 2 4 3 2 2" xfId="134" xr:uid="{A3D76FC7-C757-4ABC-B74A-2D9ADF804A20}"/>
    <cellStyle name="Normal 2 4 3 2 2 2" xfId="285" xr:uid="{353D9B07-B00A-4395-B3A6-C49ABF175964}"/>
    <cellStyle name="Normal 2 4 3 2 2 2 2" xfId="561" xr:uid="{831490E7-7F6E-4471-A4AA-CAD9401B9076}"/>
    <cellStyle name="Normal 2 4 3 2 2 2 2 2" xfId="1862" xr:uid="{FB400D8F-E4BE-43E4-BB5D-3B5FAFA79A31}"/>
    <cellStyle name="Normal 2 4 3 2 2 2 3" xfId="871" xr:uid="{C0737071-61B7-45FA-A489-1203B46B7596}"/>
    <cellStyle name="Normal 2 4 3 2 2 2 3 2" xfId="2172" xr:uid="{528D6C84-AFF8-4CF5-814F-C703A7A65219}"/>
    <cellStyle name="Normal 2 4 3 2 2 2 4" xfId="1181" xr:uid="{A91C29B2-DA32-42A9-A509-2B54504AE94D}"/>
    <cellStyle name="Normal 2 4 3 2 2 2 4 2" xfId="2482" xr:uid="{07E609A4-60C5-49AD-B795-36FAFC7FFFC1}"/>
    <cellStyle name="Normal 2 4 3 2 2 2 5" xfId="1491" xr:uid="{61EA00D8-DBB3-4523-857F-E44C804C9CE3}"/>
    <cellStyle name="Normal 2 4 3 2 2 3" xfId="405" xr:uid="{B9B62323-E853-4D7A-8A2C-8ACBB82D902C}"/>
    <cellStyle name="Normal 2 4 3 2 2 3 2" xfId="681" xr:uid="{6F76D24E-8142-4ED2-A25B-3B161B94CE5B}"/>
    <cellStyle name="Normal 2 4 3 2 2 3 2 2" xfId="1982" xr:uid="{8C725478-6765-49D0-A5E0-D8ADBEB74D2F}"/>
    <cellStyle name="Normal 2 4 3 2 2 3 3" xfId="991" xr:uid="{2947F15D-B27F-4816-B8AC-0BCEE40AA103}"/>
    <cellStyle name="Normal 2 4 3 2 2 3 3 2" xfId="2292" xr:uid="{95403C42-E072-4D42-AD51-278A4D1D2DD8}"/>
    <cellStyle name="Normal 2 4 3 2 2 3 4" xfId="1301" xr:uid="{2FD359E7-99BB-42F3-96C0-A41B10E2DE02}"/>
    <cellStyle name="Normal 2 4 3 2 2 3 4 2" xfId="2602" xr:uid="{1A25BB95-BFA6-412E-8387-9482961E7360}"/>
    <cellStyle name="Normal 2 4 3 2 2 3 5" xfId="1611" xr:uid="{20D8170F-BA97-44E8-8A3D-BF48C19F3634}"/>
    <cellStyle name="Normal 2 4 3 2 2 4" xfId="169" xr:uid="{6FEB4407-15A4-4477-8720-764720A7E42F}"/>
    <cellStyle name="Normal 2 4 3 2 2 4 2" xfId="756" xr:uid="{232853B2-6BE4-4E68-8E48-E0F1E4E5D7D2}"/>
    <cellStyle name="Normal 2 4 3 2 2 4 2 2" xfId="2057" xr:uid="{B4B8A7D6-1E57-401C-86A7-2DE759E10E60}"/>
    <cellStyle name="Normal 2 4 3 2 2 4 3" xfId="1066" xr:uid="{77C9F9FF-E4B4-47F3-AD44-FE9E9938EEBB}"/>
    <cellStyle name="Normal 2 4 3 2 2 4 3 2" xfId="2367" xr:uid="{BAB348CD-CF75-49A0-9401-68DDA05C68C0}"/>
    <cellStyle name="Normal 2 4 3 2 2 4 4" xfId="1376" xr:uid="{FF0E8719-0C0D-4CA5-93ED-BD07F351D507}"/>
    <cellStyle name="Normal 2 4 3 2 2 5" xfId="452" xr:uid="{F3878191-EB57-4AE6-B065-8216E59F256A}"/>
    <cellStyle name="Normal 2 4 3 2 2 5 2" xfId="1753" xr:uid="{9BA65430-82D4-484A-B81A-DD779BC02E0E}"/>
    <cellStyle name="Normal 2 4 3 2 2 6" xfId="721" xr:uid="{AC63D62D-8A75-4DBE-B1A8-FC333215487C}"/>
    <cellStyle name="Normal 2 4 3 2 2 6 2" xfId="2022" xr:uid="{69E7019B-5851-4BA8-A4A6-0CE99F1113A3}"/>
    <cellStyle name="Normal 2 4 3 2 2 7" xfId="1031" xr:uid="{E44B5A0A-897D-4146-9E65-6C19EDF737B3}"/>
    <cellStyle name="Normal 2 4 3 2 2 7 2" xfId="2332" xr:uid="{04776086-5787-427D-9F90-B52FA159C479}"/>
    <cellStyle name="Normal 2 4 3 2 2 8" xfId="1341" xr:uid="{4954B346-B2CC-44F4-A725-FA93D0518443}"/>
    <cellStyle name="Normal 2 4 3 2 3" xfId="184" xr:uid="{DED0D6FC-07B8-4448-A6B7-4A4673000375}"/>
    <cellStyle name="Normal 2 4 3 2 3 2" xfId="300" xr:uid="{AE6CF0E2-FE2A-486B-94D5-E8DCF40DF9B1}"/>
    <cellStyle name="Normal 2 4 3 2 3 2 2" xfId="576" xr:uid="{C76B0DBE-3DC6-4509-8F02-66674196AAC7}"/>
    <cellStyle name="Normal 2 4 3 2 3 2 2 2" xfId="1877" xr:uid="{57A1CE13-FBB2-4C31-A3CF-7C9E390C78C9}"/>
    <cellStyle name="Normal 2 4 3 2 3 2 3" xfId="886" xr:uid="{5C3F1A46-A95B-455D-8979-2F2CD8D2921F}"/>
    <cellStyle name="Normal 2 4 3 2 3 2 3 2" xfId="2187" xr:uid="{8FF49CAF-58D9-4E94-9E73-5007D826F084}"/>
    <cellStyle name="Normal 2 4 3 2 3 2 4" xfId="1196" xr:uid="{916C33CD-7335-4041-BAE4-6A44D249CF8D}"/>
    <cellStyle name="Normal 2 4 3 2 3 2 4 2" xfId="2497" xr:uid="{1960C7F0-E4E6-4E30-B381-AD3832DE8F4C}"/>
    <cellStyle name="Normal 2 4 3 2 3 2 5" xfId="1506" xr:uid="{F9D83774-A3CB-4AC0-812F-29D5FC421BBA}"/>
    <cellStyle name="Normal 2 4 3 2 3 3" xfId="462" xr:uid="{D68084AC-1829-486B-9B0F-CBA5428CDE5C}"/>
    <cellStyle name="Normal 2 4 3 2 3 3 2" xfId="1763" xr:uid="{30DB3C84-E229-40DA-85D8-605D56CA9478}"/>
    <cellStyle name="Normal 2 4 3 2 3 4" xfId="771" xr:uid="{BE79F92C-32EA-4137-B898-54E91AFCB316}"/>
    <cellStyle name="Normal 2 4 3 2 3 4 2" xfId="2072" xr:uid="{7DA4BB47-2A8A-46D2-B124-64FABE36191B}"/>
    <cellStyle name="Normal 2 4 3 2 3 5" xfId="1081" xr:uid="{C499D10B-63BD-4AE6-8DE9-E5CFC86A61F6}"/>
    <cellStyle name="Normal 2 4 3 2 3 5 2" xfId="2382" xr:uid="{91151F95-9C9A-4F73-8BC6-C7542F300B0C}"/>
    <cellStyle name="Normal 2 4 3 2 3 6" xfId="1391" xr:uid="{54957DBF-1908-4DF1-B2F1-EA953D03A69E}"/>
    <cellStyle name="Normal 2 4 3 2 4" xfId="210" xr:uid="{77405038-7079-4569-9E4D-5BA1019FBA4F}"/>
    <cellStyle name="Normal 2 4 3 2 4 2" xfId="325" xr:uid="{3840744A-AA79-410D-B16E-D2F447D93366}"/>
    <cellStyle name="Normal 2 4 3 2 4 2 2" xfId="601" xr:uid="{8970247C-8222-42D6-9C75-13AE193FF195}"/>
    <cellStyle name="Normal 2 4 3 2 4 2 2 2" xfId="1902" xr:uid="{9B3517BE-83D7-4AD5-A7AC-45F142AFCA1E}"/>
    <cellStyle name="Normal 2 4 3 2 4 2 3" xfId="911" xr:uid="{1F08BD15-9636-4ACB-8551-1928D81BCAFC}"/>
    <cellStyle name="Normal 2 4 3 2 4 2 3 2" xfId="2212" xr:uid="{C1C3F30D-0A00-415F-96BB-5B98517365D7}"/>
    <cellStyle name="Normal 2 4 3 2 4 2 4" xfId="1221" xr:uid="{DABF26D6-64A4-4837-B548-DFFBEAAD8881}"/>
    <cellStyle name="Normal 2 4 3 2 4 2 4 2" xfId="2522" xr:uid="{D112A095-6486-4B52-8FEA-F8DF8DBE6EE7}"/>
    <cellStyle name="Normal 2 4 3 2 4 2 5" xfId="1531" xr:uid="{4677ED17-53EF-43C9-B657-1F46EC70AF9E}"/>
    <cellStyle name="Normal 2 4 3 2 4 3" xfId="486" xr:uid="{018DBC1D-B890-4570-9D1D-9462496FC092}"/>
    <cellStyle name="Normal 2 4 3 2 4 3 2" xfId="1787" xr:uid="{12F11AF4-A4FA-43D5-9E98-83AC847B3474}"/>
    <cellStyle name="Normal 2 4 3 2 4 4" xfId="796" xr:uid="{894B7832-9011-4520-BB9F-A736A053277B}"/>
    <cellStyle name="Normal 2 4 3 2 4 4 2" xfId="2097" xr:uid="{09C1B328-D167-4207-9354-C26721D10E88}"/>
    <cellStyle name="Normal 2 4 3 2 4 5" xfId="1106" xr:uid="{91D41D91-4E77-4847-9561-A21BC129F1A3}"/>
    <cellStyle name="Normal 2 4 3 2 4 5 2" xfId="2407" xr:uid="{2304AE6A-E9AC-4765-9C6D-826E9AFC3B99}"/>
    <cellStyle name="Normal 2 4 3 2 4 6" xfId="1416" xr:uid="{D186DA05-A9EE-4103-A08D-7C40A18BA2F1}"/>
    <cellStyle name="Normal 2 4 3 2 5" xfId="225" xr:uid="{922BAEDC-51D6-4B26-A6CF-8F56CA1E100C}"/>
    <cellStyle name="Normal 2 4 3 2 5 2" xfId="340" xr:uid="{E6C4EAAF-CC22-45D7-85F9-B440A966E3CD}"/>
    <cellStyle name="Normal 2 4 3 2 5 2 2" xfId="616" xr:uid="{54823E73-3174-45FA-B488-D04B787F10B3}"/>
    <cellStyle name="Normal 2 4 3 2 5 2 2 2" xfId="1917" xr:uid="{B919368D-CD1C-4A47-B072-1F90BB2B612C}"/>
    <cellStyle name="Normal 2 4 3 2 5 2 3" xfId="926" xr:uid="{CDA04F27-A7DC-465D-8D6D-5173727A5C10}"/>
    <cellStyle name="Normal 2 4 3 2 5 2 3 2" xfId="2227" xr:uid="{FA1F274A-220E-4987-8B56-0DD6A6732049}"/>
    <cellStyle name="Normal 2 4 3 2 5 2 4" xfId="1236" xr:uid="{DB0F1CE8-B2F7-42B7-B232-B838D996472C}"/>
    <cellStyle name="Normal 2 4 3 2 5 2 4 2" xfId="2537" xr:uid="{EEBE8F2B-8AC4-4968-99C0-ECA16F836F65}"/>
    <cellStyle name="Normal 2 4 3 2 5 2 5" xfId="1546" xr:uid="{7D3D8935-252B-427F-83B3-6CB6AE5DDAAF}"/>
    <cellStyle name="Normal 2 4 3 2 5 3" xfId="501" xr:uid="{26D3EE76-4A3F-4302-946C-B5CE6DBCE616}"/>
    <cellStyle name="Normal 2 4 3 2 5 3 2" xfId="1802" xr:uid="{2036E746-7977-4412-9744-7151C47BB5EE}"/>
    <cellStyle name="Normal 2 4 3 2 5 4" xfId="811" xr:uid="{38ECFFB8-A76D-4F9A-A04B-BE030D7924A1}"/>
    <cellStyle name="Normal 2 4 3 2 5 4 2" xfId="2112" xr:uid="{EAA4E534-3839-416C-86DE-470FEF3C018A}"/>
    <cellStyle name="Normal 2 4 3 2 5 5" xfId="1121" xr:uid="{5B261115-2A6E-44E5-ADD0-A42A712B06D1}"/>
    <cellStyle name="Normal 2 4 3 2 5 5 2" xfId="2422" xr:uid="{0460EAB0-0ECF-4944-9308-3221963CEB33}"/>
    <cellStyle name="Normal 2 4 3 2 5 6" xfId="1431" xr:uid="{74760F2F-09E1-4D41-8627-45A4477E2041}"/>
    <cellStyle name="Normal 2 4 3 2 6" xfId="250" xr:uid="{15EA6E80-4F5F-493C-A634-503A735CA050}"/>
    <cellStyle name="Normal 2 4 3 2 6 2" xfId="365" xr:uid="{EA24A126-3DC1-4AF1-B9EF-0FC6E303594A}"/>
    <cellStyle name="Normal 2 4 3 2 6 2 2" xfId="641" xr:uid="{069B5EC3-267E-4298-A02C-31C7B4626C1D}"/>
    <cellStyle name="Normal 2 4 3 2 6 2 2 2" xfId="1942" xr:uid="{A41D5F3E-007A-4004-8F3B-8679C693A4DA}"/>
    <cellStyle name="Normal 2 4 3 2 6 2 3" xfId="951" xr:uid="{531984A3-EDCE-4341-96F5-6EAF8642C552}"/>
    <cellStyle name="Normal 2 4 3 2 6 2 3 2" xfId="2252" xr:uid="{47C712BE-693B-401F-8D95-47C63E928B6B}"/>
    <cellStyle name="Normal 2 4 3 2 6 2 4" xfId="1261" xr:uid="{1858254A-A364-4044-B1EB-5109AED96527}"/>
    <cellStyle name="Normal 2 4 3 2 6 2 4 2" xfId="2562" xr:uid="{863234FE-BFCA-4C56-904B-FA79918FDD31}"/>
    <cellStyle name="Normal 2 4 3 2 6 2 5" xfId="1571" xr:uid="{FC7EF93E-0ACA-4654-AEFA-50CEA34B9E86}"/>
    <cellStyle name="Normal 2 4 3 2 6 3" xfId="526" xr:uid="{8DCC4640-2D64-4185-BF64-8CD19605B271}"/>
    <cellStyle name="Normal 2 4 3 2 6 3 2" xfId="1827" xr:uid="{13E3CB0F-2C26-4FE6-861F-B92DB61EC27E}"/>
    <cellStyle name="Normal 2 4 3 2 6 4" xfId="836" xr:uid="{6D46C1E7-1329-4AC9-9B6E-837188ECBC54}"/>
    <cellStyle name="Normal 2 4 3 2 6 4 2" xfId="2137" xr:uid="{0F03729A-71B6-49C1-8BDA-E726E97A70D3}"/>
    <cellStyle name="Normal 2 4 3 2 6 5" xfId="1146" xr:uid="{7EDB6D3B-D7BD-481C-AFB4-041F90A7E384}"/>
    <cellStyle name="Normal 2 4 3 2 6 5 2" xfId="2447" xr:uid="{AE2138AF-275C-48CA-A452-B6FB356EB5C8}"/>
    <cellStyle name="Normal 2 4 3 2 6 6" xfId="1456" xr:uid="{361A6D8C-A7C5-4FC1-BED1-3E5353C0F0C1}"/>
    <cellStyle name="Normal 2 4 3 2 7" xfId="270" xr:uid="{6A3EE694-2FC1-4F07-B9B3-F244A2CBED97}"/>
    <cellStyle name="Normal 2 4 3 2 7 2" xfId="546" xr:uid="{6A3D81F6-BD0C-4945-B483-438C0E84F5F9}"/>
    <cellStyle name="Normal 2 4 3 2 7 2 2" xfId="1847" xr:uid="{2C482587-7443-4CD3-A5B8-ED34AF892DCA}"/>
    <cellStyle name="Normal 2 4 3 2 7 3" xfId="856" xr:uid="{920F8C5B-5A9F-46BA-8C9E-D77B3E4C7CF7}"/>
    <cellStyle name="Normal 2 4 3 2 7 3 2" xfId="2157" xr:uid="{640A593B-B553-4473-B4D6-022A716B2F8F}"/>
    <cellStyle name="Normal 2 4 3 2 7 4" xfId="1166" xr:uid="{72E8AEFA-8D5E-4E47-BF87-3AECE134D091}"/>
    <cellStyle name="Normal 2 4 3 2 7 4 2" xfId="2467" xr:uid="{9C12D6B4-D36D-4D14-A4AF-6D1FDECE2355}"/>
    <cellStyle name="Normal 2 4 3 2 7 5" xfId="1476" xr:uid="{3C98FFC1-5FA9-48EE-966D-A77A94E4C727}"/>
    <cellStyle name="Normal 2 4 3 2 8" xfId="380" xr:uid="{67588BBE-F554-4478-A703-C89CC8C7D2A7}"/>
    <cellStyle name="Normal 2 4 3 2 8 2" xfId="656" xr:uid="{36EFFA4B-B27B-4E52-BC69-0603853B5184}"/>
    <cellStyle name="Normal 2 4 3 2 8 2 2" xfId="1957" xr:uid="{E27286E6-6921-4272-AF36-8F24F42B0F91}"/>
    <cellStyle name="Normal 2 4 3 2 8 3" xfId="966" xr:uid="{E537D101-B349-4225-8095-10B88221141B}"/>
    <cellStyle name="Normal 2 4 3 2 8 3 2" xfId="2267" xr:uid="{FFB51E47-9B8D-4FE0-A8B2-6906BA0FB268}"/>
    <cellStyle name="Normal 2 4 3 2 8 4" xfId="1276" xr:uid="{4A78DBFA-81B9-4491-9DD9-23EC386BC910}"/>
    <cellStyle name="Normal 2 4 3 2 8 4 2" xfId="2577" xr:uid="{BFD32EA7-1B32-45BA-AE37-695B2F2687CE}"/>
    <cellStyle name="Normal 2 4 3 2 8 5" xfId="1586" xr:uid="{241BD2D9-C18F-48F6-8C6B-3924D02F6357}"/>
    <cellStyle name="Normal 2 4 3 2 9" xfId="154" xr:uid="{43B48C6D-9FA4-40CB-95C0-451346682F89}"/>
    <cellStyle name="Normal 2 4 3 2 9 2" xfId="741" xr:uid="{09D9AE03-1E16-428D-90D8-5422DF4AA0C6}"/>
    <cellStyle name="Normal 2 4 3 2 9 2 2" xfId="2042" xr:uid="{4A84C9DF-69A2-48BA-B681-CBEE391A4228}"/>
    <cellStyle name="Normal 2 4 3 2 9 3" xfId="1051" xr:uid="{1496EB24-BEB2-4BB6-8755-1C6F6B636AC9}"/>
    <cellStyle name="Normal 2 4 3 2 9 3 2" xfId="2352" xr:uid="{70281AFC-F3EF-48FC-A727-023C0C6AA052}"/>
    <cellStyle name="Normal 2 4 3 2 9 4" xfId="1361" xr:uid="{7B6586FB-F2AB-4C1D-B89C-C215D7933CFF}"/>
    <cellStyle name="Normal 2 4 3 3" xfId="124" xr:uid="{6675996D-A459-4097-82B4-DA5D14676F94}"/>
    <cellStyle name="Normal 2 4 3 3 10" xfId="1331" xr:uid="{8B530BB4-AB7D-4A3E-B865-D4ED5D7567D8}"/>
    <cellStyle name="Normal 2 4 3 3 2" xfId="200" xr:uid="{A1C339DB-42FB-4528-8808-B9B4852F9C75}"/>
    <cellStyle name="Normal 2 4 3 3 2 2" xfId="315" xr:uid="{DE66F93B-ADE0-44A7-AF42-39DD0AE4AF33}"/>
    <cellStyle name="Normal 2 4 3 3 2 2 2" xfId="591" xr:uid="{09542776-F156-4AC7-A745-1BF590E6F5A2}"/>
    <cellStyle name="Normal 2 4 3 3 2 2 2 2" xfId="1892" xr:uid="{4AEC846F-3484-49C8-8614-9D115B031697}"/>
    <cellStyle name="Normal 2 4 3 3 2 2 3" xfId="901" xr:uid="{FE2BEA37-64F9-43B1-AA94-DAFEC25B2455}"/>
    <cellStyle name="Normal 2 4 3 3 2 2 3 2" xfId="2202" xr:uid="{58C85955-E8F9-4E1B-91F1-734A26F1C36F}"/>
    <cellStyle name="Normal 2 4 3 3 2 2 4" xfId="1211" xr:uid="{F89B3484-2438-4D1F-939C-D6AA18481241}"/>
    <cellStyle name="Normal 2 4 3 3 2 2 4 2" xfId="2512" xr:uid="{4A0F51F0-E087-4096-B135-C2256BAB3F45}"/>
    <cellStyle name="Normal 2 4 3 3 2 2 5" xfId="1521" xr:uid="{29900C96-D155-4F54-9813-3BDF695605BF}"/>
    <cellStyle name="Normal 2 4 3 3 2 3" xfId="476" xr:uid="{5B0C9659-50A6-41E6-8157-53F25C039AB7}"/>
    <cellStyle name="Normal 2 4 3 3 2 3 2" xfId="1777" xr:uid="{923C5F3D-B43B-4034-8775-04510C2923CE}"/>
    <cellStyle name="Normal 2 4 3 3 2 4" xfId="786" xr:uid="{AFD699EE-C97C-4C84-8618-482E5518AA8A}"/>
    <cellStyle name="Normal 2 4 3 3 2 4 2" xfId="2087" xr:uid="{81B39786-FC5E-4E45-9178-33EAF4D42AC6}"/>
    <cellStyle name="Normal 2 4 3 3 2 5" xfId="1096" xr:uid="{306D4BEB-D487-41A9-B9D0-ED78110D30DA}"/>
    <cellStyle name="Normal 2 4 3 3 2 5 2" xfId="2397" xr:uid="{2958642B-619F-4955-AA25-2DC67DE278EF}"/>
    <cellStyle name="Normal 2 4 3 3 2 6" xfId="1406" xr:uid="{9C4EFBE4-3C43-4CE2-A98F-B64B0DE87CC8}"/>
    <cellStyle name="Normal 2 4 3 3 3" xfId="240" xr:uid="{CF31DF62-BF19-431D-B7D0-A1999DB266F7}"/>
    <cellStyle name="Normal 2 4 3 3 3 2" xfId="355" xr:uid="{E63C0DC8-0421-4BD7-8B58-E38C1624444E}"/>
    <cellStyle name="Normal 2 4 3 3 3 2 2" xfId="631" xr:uid="{859C26B2-B42B-4704-BED5-DDED0AA5DC34}"/>
    <cellStyle name="Normal 2 4 3 3 3 2 2 2" xfId="1932" xr:uid="{DFD4273D-AF87-42E0-9851-148F71BC0A53}"/>
    <cellStyle name="Normal 2 4 3 3 3 2 3" xfId="941" xr:uid="{9673F9D7-9681-4DDF-BFCA-A2DB0C747096}"/>
    <cellStyle name="Normal 2 4 3 3 3 2 3 2" xfId="2242" xr:uid="{AD712C9C-CBE4-4696-8BAD-344A5D960F91}"/>
    <cellStyle name="Normal 2 4 3 3 3 2 4" xfId="1251" xr:uid="{70D81509-B755-4DFE-8E7E-B0B9E21C05E1}"/>
    <cellStyle name="Normal 2 4 3 3 3 2 4 2" xfId="2552" xr:uid="{9D8802BA-9FF1-4624-A522-3CC71764996B}"/>
    <cellStyle name="Normal 2 4 3 3 3 2 5" xfId="1561" xr:uid="{113357F1-081A-43C1-A11C-CB14F7536BFF}"/>
    <cellStyle name="Normal 2 4 3 3 3 3" xfId="516" xr:uid="{0ABDC366-F71C-4C52-92F8-DFA4DF427061}"/>
    <cellStyle name="Normal 2 4 3 3 3 3 2" xfId="1817" xr:uid="{46021C5E-44C6-4EEC-B449-77FA3B43E1F6}"/>
    <cellStyle name="Normal 2 4 3 3 3 4" xfId="826" xr:uid="{3F75A466-8E92-47B7-98EC-B75678E4C92E}"/>
    <cellStyle name="Normal 2 4 3 3 3 4 2" xfId="2127" xr:uid="{C15EF95D-8DC7-471A-8FBA-CCD255D674F5}"/>
    <cellStyle name="Normal 2 4 3 3 3 5" xfId="1136" xr:uid="{77679487-2207-41D0-AF93-42C881CEF828}"/>
    <cellStyle name="Normal 2 4 3 3 3 5 2" xfId="2437" xr:uid="{3DA98E23-D4FB-42C3-A4A5-1CEF659481E2}"/>
    <cellStyle name="Normal 2 4 3 3 3 6" xfId="1446" xr:uid="{6C4BAB5E-89C1-4C9B-AE17-1D7683E36291}"/>
    <cellStyle name="Normal 2 4 3 3 4" xfId="275" xr:uid="{7EF5761B-9F2C-4975-A405-3F92C593C81E}"/>
    <cellStyle name="Normal 2 4 3 3 4 2" xfId="551" xr:uid="{B62D4EEF-E353-4CF1-B6C4-2D5FC71F98A4}"/>
    <cellStyle name="Normal 2 4 3 3 4 2 2" xfId="1852" xr:uid="{7EE54D1A-264D-4C65-90D7-8BFBD8D16242}"/>
    <cellStyle name="Normal 2 4 3 3 4 3" xfId="861" xr:uid="{F3BD481C-4CCB-4D31-A306-92799790E070}"/>
    <cellStyle name="Normal 2 4 3 3 4 3 2" xfId="2162" xr:uid="{C1EC87F8-91ED-484B-9D5B-AE6FAD91F548}"/>
    <cellStyle name="Normal 2 4 3 3 4 4" xfId="1171" xr:uid="{C8EB288F-014C-4581-8C91-078C4C815F3B}"/>
    <cellStyle name="Normal 2 4 3 3 4 4 2" xfId="2472" xr:uid="{F7A10683-067C-4C5C-A7DA-8BFAD52A6D9D}"/>
    <cellStyle name="Normal 2 4 3 3 4 5" xfId="1481" xr:uid="{965C16FB-0F17-472A-B3DD-D853428844C8}"/>
    <cellStyle name="Normal 2 4 3 3 5" xfId="395" xr:uid="{40FC49FE-EB18-4A89-A43C-B7F4272F03F2}"/>
    <cellStyle name="Normal 2 4 3 3 5 2" xfId="671" xr:uid="{60D8EEBD-9864-49EC-A4BB-E67177992EF6}"/>
    <cellStyle name="Normal 2 4 3 3 5 2 2" xfId="1972" xr:uid="{09D8688E-10CE-4AFB-8436-3E0B772C7FE4}"/>
    <cellStyle name="Normal 2 4 3 3 5 3" xfId="981" xr:uid="{F704F28F-8E83-47D1-9A88-1A0905A43906}"/>
    <cellStyle name="Normal 2 4 3 3 5 3 2" xfId="2282" xr:uid="{9B636259-D1D5-474C-B437-576E62A99420}"/>
    <cellStyle name="Normal 2 4 3 3 5 4" xfId="1291" xr:uid="{9082CD1F-3A4E-4083-8DC2-061C1ECA9048}"/>
    <cellStyle name="Normal 2 4 3 3 5 4 2" xfId="2592" xr:uid="{7A21991C-D7DA-4EA3-99C2-D3FDC26EB182}"/>
    <cellStyle name="Normal 2 4 3 3 5 5" xfId="1601" xr:uid="{D5B760E9-8EAA-4611-849B-8C71475DF2E9}"/>
    <cellStyle name="Normal 2 4 3 3 6" xfId="159" xr:uid="{92FEFCEF-F561-46E1-BAD4-581182BCDC07}"/>
    <cellStyle name="Normal 2 4 3 3 6 2" xfId="746" xr:uid="{BBE2D905-7C4B-4C45-8825-F4FF951A97F9}"/>
    <cellStyle name="Normal 2 4 3 3 6 2 2" xfId="2047" xr:uid="{E8E73F20-7B3C-445A-902E-EE65CF695C2E}"/>
    <cellStyle name="Normal 2 4 3 3 6 3" xfId="1056" xr:uid="{9A5FF884-3712-4274-99DE-F2708008D08E}"/>
    <cellStyle name="Normal 2 4 3 3 6 3 2" xfId="2357" xr:uid="{4A6E4EF4-0CB6-4F82-9DB7-C0A0AA2E579F}"/>
    <cellStyle name="Normal 2 4 3 3 6 4" xfId="1366" xr:uid="{F106DFA0-6249-488A-B177-ACCF0D4E32E2}"/>
    <cellStyle name="Normal 2 4 3 3 7" xfId="442" xr:uid="{C8445DF0-C245-4226-A3CE-298A194E2D1C}"/>
    <cellStyle name="Normal 2 4 3 3 7 2" xfId="1743" xr:uid="{55298607-53CD-4AD4-A78D-D155AF730EBE}"/>
    <cellStyle name="Normal 2 4 3 3 8" xfId="711" xr:uid="{2D5C0690-BC1A-40CC-BD67-52761D02DE7E}"/>
    <cellStyle name="Normal 2 4 3 3 8 2" xfId="2012" xr:uid="{F84D997C-80BB-4294-B8AA-002A5B680764}"/>
    <cellStyle name="Normal 2 4 3 3 9" xfId="1021" xr:uid="{04488F84-88DB-49CD-812A-571D0F84D68D}"/>
    <cellStyle name="Normal 2 4 3 3 9 2" xfId="2322" xr:uid="{851B45C8-0303-44E5-BAF1-7358092787B6}"/>
    <cellStyle name="Normal 2 4 3 4" xfId="119" xr:uid="{FC69F60B-E708-40EE-91F4-9C55979BF470}"/>
    <cellStyle name="Normal 2 4 3 4 2" xfId="290" xr:uid="{58D70F8C-F3F4-4A21-AB2F-7B4F413508E8}"/>
    <cellStyle name="Normal 2 4 3 4 2 2" xfId="566" xr:uid="{34FD88AE-3BBC-4163-A16A-C25780FAF7F5}"/>
    <cellStyle name="Normal 2 4 3 4 2 2 2" xfId="1867" xr:uid="{79534107-8079-4C0A-95CF-F47E8867BA61}"/>
    <cellStyle name="Normal 2 4 3 4 2 3" xfId="876" xr:uid="{9B16922A-94B8-40B3-B5FF-EA42CBAAD11C}"/>
    <cellStyle name="Normal 2 4 3 4 2 3 2" xfId="2177" xr:uid="{F0A824B0-1237-48FC-B610-3B566F6867A0}"/>
    <cellStyle name="Normal 2 4 3 4 2 4" xfId="1186" xr:uid="{3225BA61-5046-4E60-8D06-2DDD2AAE52A1}"/>
    <cellStyle name="Normal 2 4 3 4 2 4 2" xfId="2487" xr:uid="{95D8E17C-D2B0-48A2-8D6B-57E31076FECF}"/>
    <cellStyle name="Normal 2 4 3 4 2 5" xfId="1496" xr:uid="{F866912A-6195-4A3B-90C7-54BE416B1E53}"/>
    <cellStyle name="Normal 2 4 3 4 3" xfId="390" xr:uid="{25D1C90B-A126-4628-9F65-2966717FA691}"/>
    <cellStyle name="Normal 2 4 3 4 3 2" xfId="666" xr:uid="{636661C7-FEF9-4EC2-BB4E-AC181AE22F26}"/>
    <cellStyle name="Normal 2 4 3 4 3 2 2" xfId="1967" xr:uid="{EB482501-5103-4A5C-82A0-2325E7C2FF86}"/>
    <cellStyle name="Normal 2 4 3 4 3 3" xfId="976" xr:uid="{8A4D14E5-0E57-48BA-A7C2-AA4D0F369E32}"/>
    <cellStyle name="Normal 2 4 3 4 3 3 2" xfId="2277" xr:uid="{C0EDE9EE-2668-4B48-B062-86AFE5B07671}"/>
    <cellStyle name="Normal 2 4 3 4 3 4" xfId="1286" xr:uid="{E8B9C942-F2D0-41AF-B7FD-9EEEB02AECA4}"/>
    <cellStyle name="Normal 2 4 3 4 3 4 2" xfId="2587" xr:uid="{3B818447-2844-4E87-B977-106B7D6AD5D8}"/>
    <cellStyle name="Normal 2 4 3 4 3 5" xfId="1596" xr:uid="{171D6076-C1BC-4A45-B4AA-A0A1C99E8CC1}"/>
    <cellStyle name="Normal 2 4 3 4 4" xfId="174" xr:uid="{7CE9926F-233D-4053-81FE-16A6F7354518}"/>
    <cellStyle name="Normal 2 4 3 4 4 2" xfId="761" xr:uid="{484E91EE-23F7-47D9-830A-37F3A99AF0EC}"/>
    <cellStyle name="Normal 2 4 3 4 4 2 2" xfId="2062" xr:uid="{8294CE83-C5F8-475A-A7D4-87AA43E6BB68}"/>
    <cellStyle name="Normal 2 4 3 4 4 3" xfId="1071" xr:uid="{A08ADAE1-551A-4D98-8233-7A95501FCECB}"/>
    <cellStyle name="Normal 2 4 3 4 4 3 2" xfId="2372" xr:uid="{5B155373-9CA0-46D2-9CA4-DF53D7D2E49F}"/>
    <cellStyle name="Normal 2 4 3 4 4 4" xfId="1381" xr:uid="{0F29B7C0-4CE5-499C-91B5-B2A96C4B0FDF}"/>
    <cellStyle name="Normal 2 4 3 4 5" xfId="437" xr:uid="{7F4DDF99-0D03-45F1-B512-86C76D9AE474}"/>
    <cellStyle name="Normal 2 4 3 4 5 2" xfId="1738" xr:uid="{3DD572EB-7075-47AE-A273-8C0F569EF617}"/>
    <cellStyle name="Normal 2 4 3 4 6" xfId="706" xr:uid="{2B7462FB-ED8C-42FD-B36D-12CD6FB14A2B}"/>
    <cellStyle name="Normal 2 4 3 4 6 2" xfId="2007" xr:uid="{B9F40DF5-F44E-42F5-BCF0-56C42C6D2319}"/>
    <cellStyle name="Normal 2 4 3 4 7" xfId="1016" xr:uid="{EFBD30EB-86CC-419E-B2A5-3944D6EB8222}"/>
    <cellStyle name="Normal 2 4 3 4 7 2" xfId="2317" xr:uid="{A7B19E08-A8DB-4132-81B1-403A74B67AC0}"/>
    <cellStyle name="Normal 2 4 3 4 8" xfId="1326" xr:uid="{3B7618D9-1036-446A-92C5-59760B3B705F}"/>
    <cellStyle name="Normal 2 4 3 5" xfId="195" xr:uid="{A3A3DA66-E32A-428F-B262-5F7EBD89DA97}"/>
    <cellStyle name="Normal 2 4 3 5 2" xfId="310" xr:uid="{567CDE5A-57C5-4A3C-A189-F2E0131EF587}"/>
    <cellStyle name="Normal 2 4 3 5 2 2" xfId="586" xr:uid="{9ED37258-6C04-43C4-AF2B-B460C2BED9B9}"/>
    <cellStyle name="Normal 2 4 3 5 2 2 2" xfId="1887" xr:uid="{065DBBA1-D35B-4F7C-BE0F-CF981F0EF9E5}"/>
    <cellStyle name="Normal 2 4 3 5 2 3" xfId="896" xr:uid="{BC035611-BE60-4756-9EE4-8B407BB3C1CC}"/>
    <cellStyle name="Normal 2 4 3 5 2 3 2" xfId="2197" xr:uid="{F43BBFDA-6C4C-464A-A205-D2949651CAB6}"/>
    <cellStyle name="Normal 2 4 3 5 2 4" xfId="1206" xr:uid="{3EE9BA4D-7780-4637-B800-745A01CCAEDC}"/>
    <cellStyle name="Normal 2 4 3 5 2 4 2" xfId="2507" xr:uid="{DD94EEB1-CC43-4C63-A641-BDEBCCA69B1A}"/>
    <cellStyle name="Normal 2 4 3 5 2 5" xfId="1516" xr:uid="{82089DF7-32CE-47D5-BBD8-A2B2FDD1FF64}"/>
    <cellStyle name="Normal 2 4 3 5 3" xfId="471" xr:uid="{B40E91CE-9F79-4398-AF51-5327F1C8B1EA}"/>
    <cellStyle name="Normal 2 4 3 5 3 2" xfId="1772" xr:uid="{6A9DCAB4-11A5-4146-898F-8CCDF2B32E8A}"/>
    <cellStyle name="Normal 2 4 3 5 4" xfId="781" xr:uid="{50DE602B-54FF-479D-8C8D-DD3552489081}"/>
    <cellStyle name="Normal 2 4 3 5 4 2" xfId="2082" xr:uid="{95ABABE6-81F0-4CFF-ACD9-1071099081FF}"/>
    <cellStyle name="Normal 2 4 3 5 5" xfId="1091" xr:uid="{558E1A3F-8BD5-40BF-9A08-31422A7E7A77}"/>
    <cellStyle name="Normal 2 4 3 5 5 2" xfId="2392" xr:uid="{468D6301-7836-4726-90ED-D4046BBA2BB4}"/>
    <cellStyle name="Normal 2 4 3 5 6" xfId="1401" xr:uid="{EF92D216-16AF-4039-881C-B5697D9F79B9}"/>
    <cellStyle name="Normal 2 4 3 6" xfId="215" xr:uid="{A34439B3-A59B-4AA9-9EFF-E90E13668C47}"/>
    <cellStyle name="Normal 2 4 3 6 2" xfId="330" xr:uid="{F2249266-1FA3-4604-9DA0-EE03C5077CE7}"/>
    <cellStyle name="Normal 2 4 3 6 2 2" xfId="606" xr:uid="{D92686EE-A949-4C33-9AA8-5481104BF4E4}"/>
    <cellStyle name="Normal 2 4 3 6 2 2 2" xfId="1907" xr:uid="{81AA5E2D-F776-4B30-8E60-B378596FB07B}"/>
    <cellStyle name="Normal 2 4 3 6 2 3" xfId="916" xr:uid="{53D9AB72-1F73-47E7-9206-7A63E4B75D37}"/>
    <cellStyle name="Normal 2 4 3 6 2 3 2" xfId="2217" xr:uid="{21CFF332-7D8D-44EC-9782-520CAEE7ABD7}"/>
    <cellStyle name="Normal 2 4 3 6 2 4" xfId="1226" xr:uid="{9D92AC54-8349-4BF9-81FD-07588ACBFA74}"/>
    <cellStyle name="Normal 2 4 3 6 2 4 2" xfId="2527" xr:uid="{89796247-4DF2-4204-9941-D71352E2238E}"/>
    <cellStyle name="Normal 2 4 3 6 2 5" xfId="1536" xr:uid="{18D7FB7F-32B6-472E-A108-DDBDCA1AA76B}"/>
    <cellStyle name="Normal 2 4 3 6 3" xfId="491" xr:uid="{BA59B920-3564-4564-944B-B37A62E5A4AF}"/>
    <cellStyle name="Normal 2 4 3 6 3 2" xfId="1792" xr:uid="{17474AD0-B3C3-42BB-B20A-8D21354967F9}"/>
    <cellStyle name="Normal 2 4 3 6 4" xfId="801" xr:uid="{136F8A10-8AC0-43BA-82B2-1B014C964570}"/>
    <cellStyle name="Normal 2 4 3 6 4 2" xfId="2102" xr:uid="{3E0C0830-AD44-4F69-A6B8-4E328AF50C23}"/>
    <cellStyle name="Normal 2 4 3 6 5" xfId="1111" xr:uid="{0C1B51F5-B1EA-4C4E-AD09-E28563940523}"/>
    <cellStyle name="Normal 2 4 3 6 5 2" xfId="2412" xr:uid="{FF7F597E-AE84-471A-8820-9D0F8CF8614E}"/>
    <cellStyle name="Normal 2 4 3 6 6" xfId="1421" xr:uid="{33DC7FE4-2B73-4FEA-9092-1DB35A3E1F80}"/>
    <cellStyle name="Normal 2 4 3 7" xfId="235" xr:uid="{EA3A2589-BC2F-4D50-BDFC-BA4F1D163E4A}"/>
    <cellStyle name="Normal 2 4 3 7 2" xfId="350" xr:uid="{B1F92F2F-2BBA-4665-9D80-18A9D8B72F86}"/>
    <cellStyle name="Normal 2 4 3 7 2 2" xfId="626" xr:uid="{F7FCC371-26AD-4123-BA43-DADD32714FAA}"/>
    <cellStyle name="Normal 2 4 3 7 2 2 2" xfId="1927" xr:uid="{75C0E95B-02B7-4205-8471-B9B973129ED0}"/>
    <cellStyle name="Normal 2 4 3 7 2 3" xfId="936" xr:uid="{CDE3D96C-54D4-4D60-92C2-A15148FA5EB8}"/>
    <cellStyle name="Normal 2 4 3 7 2 3 2" xfId="2237" xr:uid="{E758F401-0F62-464E-BA44-1A7F697F9AA7}"/>
    <cellStyle name="Normal 2 4 3 7 2 4" xfId="1246" xr:uid="{983A132E-404C-4603-ACBE-E91A964DC323}"/>
    <cellStyle name="Normal 2 4 3 7 2 4 2" xfId="2547" xr:uid="{E263986C-F94B-43E7-AF1B-BF5A8116D6E7}"/>
    <cellStyle name="Normal 2 4 3 7 2 5" xfId="1556" xr:uid="{62CDCC14-4173-431E-912A-74089C614839}"/>
    <cellStyle name="Normal 2 4 3 7 3" xfId="511" xr:uid="{30F76A49-60B9-4DBD-BD57-651CB6DC550C}"/>
    <cellStyle name="Normal 2 4 3 7 3 2" xfId="1812" xr:uid="{CA441F32-8460-49DC-B415-66AF4592653D}"/>
    <cellStyle name="Normal 2 4 3 7 4" xfId="821" xr:uid="{BAC6B150-9F28-47CD-977A-2EE005D9948B}"/>
    <cellStyle name="Normal 2 4 3 7 4 2" xfId="2122" xr:uid="{0CEAC76E-5778-418B-932D-73D1960CCC2D}"/>
    <cellStyle name="Normal 2 4 3 7 5" xfId="1131" xr:uid="{E5CBBC50-F302-40F5-8A35-332874C5E0EF}"/>
    <cellStyle name="Normal 2 4 3 7 5 2" xfId="2432" xr:uid="{D5278B8A-7C85-468F-85BA-D477A14A784A}"/>
    <cellStyle name="Normal 2 4 3 7 6" xfId="1441" xr:uid="{D24E0E30-AA12-4143-B96B-CA45A3F352DF}"/>
    <cellStyle name="Normal 2 4 3 8" xfId="260" xr:uid="{EFCD7C6C-538D-42A4-AE28-14ED606B3A93}"/>
    <cellStyle name="Normal 2 4 3 8 2" xfId="536" xr:uid="{A3F4ABCE-BD9A-4376-9A5F-AA3702918329}"/>
    <cellStyle name="Normal 2 4 3 8 2 2" xfId="1837" xr:uid="{1AC8A3EE-10E1-4AAE-8E79-85BE59B7DD51}"/>
    <cellStyle name="Normal 2 4 3 8 3" xfId="846" xr:uid="{30E8A73C-EECC-465D-BFCB-1BF61D278820}"/>
    <cellStyle name="Normal 2 4 3 8 3 2" xfId="2147" xr:uid="{01589003-B9AC-4F20-B452-1B0E2A2C30ED}"/>
    <cellStyle name="Normal 2 4 3 8 4" xfId="1156" xr:uid="{70B1C48E-1A31-43BE-89CC-5AEB7C688CAE}"/>
    <cellStyle name="Normal 2 4 3 8 4 2" xfId="2457" xr:uid="{047246D0-D67D-4E2A-9825-2AEC65D83291}"/>
    <cellStyle name="Normal 2 4 3 8 5" xfId="1466" xr:uid="{7451AEA3-756A-4264-B6CC-A94C0D44D941}"/>
    <cellStyle name="Normal 2 4 3 9" xfId="370" xr:uid="{399C015D-4DCA-447D-BA5E-000BEA49C895}"/>
    <cellStyle name="Normal 2 4 3 9 2" xfId="646" xr:uid="{CBD02053-F0C5-4E39-99F3-224BE9B887A2}"/>
    <cellStyle name="Normal 2 4 3 9 2 2" xfId="1947" xr:uid="{7F0DF888-0B36-4882-895C-4E219F1725DE}"/>
    <cellStyle name="Normal 2 4 3 9 3" xfId="956" xr:uid="{C613BC04-72C1-4D8B-A10B-D9330815349F}"/>
    <cellStyle name="Normal 2 4 3 9 3 2" xfId="2257" xr:uid="{5486AED3-AECC-4A0D-A7AE-C7025BA06EAF}"/>
    <cellStyle name="Normal 2 4 3 9 4" xfId="1266" xr:uid="{03566C03-2E5C-49D8-8986-0ED90F69FAFE}"/>
    <cellStyle name="Normal 2 4 3 9 4 2" xfId="2567" xr:uid="{81430E2E-2139-49D9-B5F3-B842B10545B1}"/>
    <cellStyle name="Normal 2 4 3 9 5" xfId="1576" xr:uid="{E2B90E17-E411-47FC-8DD0-2F4AD3E2AA0C}"/>
    <cellStyle name="Normal 2 4 4" xfId="104" xr:uid="{230F8A8C-6817-48D1-8CEB-1191055A2264}"/>
    <cellStyle name="Normal 2 4 4 10" xfId="422" xr:uid="{9BB2AB7F-3443-435B-83AF-4975831AAE01}"/>
    <cellStyle name="Normal 2 4 4 10 2" xfId="1723" xr:uid="{68CB28A3-30C9-438F-B5ED-D0811A2A910F}"/>
    <cellStyle name="Normal 2 4 4 11" xfId="691" xr:uid="{9ABE39E4-ED40-418E-8A82-2A0381121CA1}"/>
    <cellStyle name="Normal 2 4 4 11 2" xfId="1992" xr:uid="{AC65DAA2-B41C-4208-BDD1-86D91457E5C4}"/>
    <cellStyle name="Normal 2 4 4 12" xfId="1001" xr:uid="{742D4F5E-5696-4560-8524-72F149069C02}"/>
    <cellStyle name="Normal 2 4 4 12 2" xfId="2302" xr:uid="{F7F128DF-6738-4013-A6DA-7AC0E96952D3}"/>
    <cellStyle name="Normal 2 4 4 13" xfId="1311" xr:uid="{E03CF94C-D795-45EA-B597-D28401AEE962}"/>
    <cellStyle name="Normal 2 4 4 2" xfId="129" xr:uid="{A77C590E-A7B5-44AA-BA00-E61D8382E94B}"/>
    <cellStyle name="Normal 2 4 4 2 2" xfId="280" xr:uid="{1E764E0C-E8E5-4315-A394-CA63B03C961F}"/>
    <cellStyle name="Normal 2 4 4 2 2 2" xfId="556" xr:uid="{87A6D27D-225C-4703-B32D-8E9519107639}"/>
    <cellStyle name="Normal 2 4 4 2 2 2 2" xfId="1857" xr:uid="{2A25DD52-5EC7-4E6F-9E56-21E5096C7076}"/>
    <cellStyle name="Normal 2 4 4 2 2 3" xfId="866" xr:uid="{779E1650-628F-4FF3-B84E-0E98CC2EB04E}"/>
    <cellStyle name="Normal 2 4 4 2 2 3 2" xfId="2167" xr:uid="{87425463-8A60-4681-94BE-914F780D30CE}"/>
    <cellStyle name="Normal 2 4 4 2 2 4" xfId="1176" xr:uid="{88D1EFEB-3D0B-4B39-9734-6EA11334C66E}"/>
    <cellStyle name="Normal 2 4 4 2 2 4 2" xfId="2477" xr:uid="{B40DA30A-EEE2-420E-A10A-673041786C3D}"/>
    <cellStyle name="Normal 2 4 4 2 2 5" xfId="1486" xr:uid="{0E08913A-257C-4930-AB86-C1FCE58113C5}"/>
    <cellStyle name="Normal 2 4 4 2 3" xfId="400" xr:uid="{A2799405-D7D0-418B-A7B8-164C35C611FF}"/>
    <cellStyle name="Normal 2 4 4 2 3 2" xfId="676" xr:uid="{3C965BBD-33C1-4A13-8732-B887C94636ED}"/>
    <cellStyle name="Normal 2 4 4 2 3 2 2" xfId="1977" xr:uid="{9AA91217-6A8C-4713-A605-0F145325593A}"/>
    <cellStyle name="Normal 2 4 4 2 3 3" xfId="986" xr:uid="{4D9D473B-2518-4271-9279-AE5402E28577}"/>
    <cellStyle name="Normal 2 4 4 2 3 3 2" xfId="2287" xr:uid="{1856128A-734A-4A93-B089-B6B1C3A36CF4}"/>
    <cellStyle name="Normal 2 4 4 2 3 4" xfId="1296" xr:uid="{C1EB1E73-8E65-4778-B96C-9FE31F907ED9}"/>
    <cellStyle name="Normal 2 4 4 2 3 4 2" xfId="2597" xr:uid="{8A60115B-5169-47A0-80BC-A7A79373D5A3}"/>
    <cellStyle name="Normal 2 4 4 2 3 5" xfId="1606" xr:uid="{A529FE34-1600-4D75-86B8-630C1F7AA276}"/>
    <cellStyle name="Normal 2 4 4 2 4" xfId="164" xr:uid="{B4AB53CC-4223-4A9E-B64E-5F3C1EE07D57}"/>
    <cellStyle name="Normal 2 4 4 2 4 2" xfId="751" xr:uid="{B0FC194C-B3A5-4FF5-A65B-DF32B69B18E5}"/>
    <cellStyle name="Normal 2 4 4 2 4 2 2" xfId="2052" xr:uid="{AE62D264-77A4-497C-AD1B-0C562B72D27C}"/>
    <cellStyle name="Normal 2 4 4 2 4 3" xfId="1061" xr:uid="{D34DB7A3-400B-43F2-9436-37B8F351C47D}"/>
    <cellStyle name="Normal 2 4 4 2 4 3 2" xfId="2362" xr:uid="{E60AB9A6-BE09-4DB3-B967-D01B5EB7E1C4}"/>
    <cellStyle name="Normal 2 4 4 2 4 4" xfId="1371" xr:uid="{67A3B0E5-61CF-4D36-9A6B-DE80F5F01A7C}"/>
    <cellStyle name="Normal 2 4 4 2 5" xfId="447" xr:uid="{85500C33-2599-49F3-87EC-E0D1CF31AAD8}"/>
    <cellStyle name="Normal 2 4 4 2 5 2" xfId="1748" xr:uid="{95F8E36D-5280-4EAE-A82B-B758D1A8CF7C}"/>
    <cellStyle name="Normal 2 4 4 2 6" xfId="716" xr:uid="{5D3F4A74-0272-4B67-86E4-E9300D427886}"/>
    <cellStyle name="Normal 2 4 4 2 6 2" xfId="2017" xr:uid="{21184E43-9B69-4594-84B1-5C59AFF92E0B}"/>
    <cellStyle name="Normal 2 4 4 2 7" xfId="1026" xr:uid="{BDF77245-25D1-45DB-92CB-10F33AF92DD0}"/>
    <cellStyle name="Normal 2 4 4 2 7 2" xfId="2327" xr:uid="{F115462D-8942-4144-80B8-FBCE918DC622}"/>
    <cellStyle name="Normal 2 4 4 2 8" xfId="1336" xr:uid="{7400F2F5-35FC-4116-B4B3-681CDA4F857E}"/>
    <cellStyle name="Normal 2 4 4 3" xfId="179" xr:uid="{8780A8A9-1FD3-436A-9DAB-191A8E554DDE}"/>
    <cellStyle name="Normal 2 4 4 3 2" xfId="295" xr:uid="{8D633292-E634-4038-80C0-4DC76840BF97}"/>
    <cellStyle name="Normal 2 4 4 3 2 2" xfId="571" xr:uid="{C5926110-2754-440D-81DF-E3323A10D418}"/>
    <cellStyle name="Normal 2 4 4 3 2 2 2" xfId="1872" xr:uid="{47A6C351-6CE1-4C33-9790-27978FF5EB42}"/>
    <cellStyle name="Normal 2 4 4 3 2 3" xfId="881" xr:uid="{824F4379-A3D0-4F2A-91B6-A79BB36A6E34}"/>
    <cellStyle name="Normal 2 4 4 3 2 3 2" xfId="2182" xr:uid="{1655DCFE-46A1-4CA8-9FD3-627C21996408}"/>
    <cellStyle name="Normal 2 4 4 3 2 4" xfId="1191" xr:uid="{D54676BB-6BEB-4D41-8E7D-65481231F617}"/>
    <cellStyle name="Normal 2 4 4 3 2 4 2" xfId="2492" xr:uid="{DDC75393-3CD6-4806-AA2F-6CD0BD15AE1D}"/>
    <cellStyle name="Normal 2 4 4 3 2 5" xfId="1501" xr:uid="{CD502AA0-8581-4777-855C-59BCC480956D}"/>
    <cellStyle name="Normal 2 4 4 3 3" xfId="457" xr:uid="{FE85F57A-1D94-4EA1-A073-8B47EB2CEC91}"/>
    <cellStyle name="Normal 2 4 4 3 3 2" xfId="1758" xr:uid="{E3059AA8-6556-4F78-8899-D233C7073C08}"/>
    <cellStyle name="Normal 2 4 4 3 4" xfId="766" xr:uid="{7A673EE3-BBC8-4C3C-9E03-A0F08ABE74CA}"/>
    <cellStyle name="Normal 2 4 4 3 4 2" xfId="2067" xr:uid="{79E3BCB1-7F4F-46B5-983E-E238AD11F135}"/>
    <cellStyle name="Normal 2 4 4 3 5" xfId="1076" xr:uid="{E4FB4984-7598-4B67-A858-B2850D2A3DC0}"/>
    <cellStyle name="Normal 2 4 4 3 5 2" xfId="2377" xr:uid="{8472F6E0-EDFF-4F78-AFBB-9A7E0C80E66F}"/>
    <cellStyle name="Normal 2 4 4 3 6" xfId="1386" xr:uid="{389ABE1F-5EDE-4E73-8D43-C03FA4921B7C}"/>
    <cellStyle name="Normal 2 4 4 4" xfId="205" xr:uid="{6102BF88-9D0E-4C27-96C0-D6A2E8D0A56B}"/>
    <cellStyle name="Normal 2 4 4 4 2" xfId="320" xr:uid="{07A514AD-4E53-4A42-ABE2-30736F7AB3E4}"/>
    <cellStyle name="Normal 2 4 4 4 2 2" xfId="596" xr:uid="{2BCE23C7-58FA-4230-A72A-87ADFF8D31DB}"/>
    <cellStyle name="Normal 2 4 4 4 2 2 2" xfId="1897" xr:uid="{80FBC63E-4572-4C4C-89CA-D77ECD5B01B7}"/>
    <cellStyle name="Normal 2 4 4 4 2 3" xfId="906" xr:uid="{9DC36358-F391-40C2-809C-DABD805CFCFF}"/>
    <cellStyle name="Normal 2 4 4 4 2 3 2" xfId="2207" xr:uid="{3328A416-B605-4D37-8818-2468CC408B4E}"/>
    <cellStyle name="Normal 2 4 4 4 2 4" xfId="1216" xr:uid="{D4A7787C-53DA-41C0-AE5E-E18DA73044A7}"/>
    <cellStyle name="Normal 2 4 4 4 2 4 2" xfId="2517" xr:uid="{AADE30B8-BE99-4B3A-968D-806032DD11F1}"/>
    <cellStyle name="Normal 2 4 4 4 2 5" xfId="1526" xr:uid="{5599D464-CC70-4623-8EBA-AE6645A98881}"/>
    <cellStyle name="Normal 2 4 4 4 3" xfId="481" xr:uid="{81C81348-24EE-49FA-813D-68F1177D2940}"/>
    <cellStyle name="Normal 2 4 4 4 3 2" xfId="1782" xr:uid="{7AF78B36-677F-4986-87C0-D3B1CCCC4EB6}"/>
    <cellStyle name="Normal 2 4 4 4 4" xfId="791" xr:uid="{D0BA55A7-4F8F-459E-98E9-5F48290F4BC1}"/>
    <cellStyle name="Normal 2 4 4 4 4 2" xfId="2092" xr:uid="{F900D598-070E-4AFF-9E67-412FF3C9F347}"/>
    <cellStyle name="Normal 2 4 4 4 5" xfId="1101" xr:uid="{42F6665B-E011-41A2-8F15-514A6F6B20D3}"/>
    <cellStyle name="Normal 2 4 4 4 5 2" xfId="2402" xr:uid="{18B46BC0-E4A4-4A18-AC72-6AE4924BF518}"/>
    <cellStyle name="Normal 2 4 4 4 6" xfId="1411" xr:uid="{F33A5D04-ACB3-4A5F-8C6E-35FB339946BE}"/>
    <cellStyle name="Normal 2 4 4 5" xfId="220" xr:uid="{96315603-91CE-4EAF-ACB7-A0F7274A0291}"/>
    <cellStyle name="Normal 2 4 4 5 2" xfId="335" xr:uid="{0B0B3A18-00A2-4B51-8D2B-B70314D329F3}"/>
    <cellStyle name="Normal 2 4 4 5 2 2" xfId="611" xr:uid="{AF2BD734-394D-48D8-B375-8E5AB0AB5829}"/>
    <cellStyle name="Normal 2 4 4 5 2 2 2" xfId="1912" xr:uid="{6B6C8AC4-9FE8-45CD-BE74-D1D53D144894}"/>
    <cellStyle name="Normal 2 4 4 5 2 3" xfId="921" xr:uid="{24C49EB9-D6CC-42AA-86E1-51BE85408389}"/>
    <cellStyle name="Normal 2 4 4 5 2 3 2" xfId="2222" xr:uid="{D28DE0FE-052A-498E-95B1-52F255700856}"/>
    <cellStyle name="Normal 2 4 4 5 2 4" xfId="1231" xr:uid="{9248CCC6-C3E6-4329-BCD2-D66DA03A977C}"/>
    <cellStyle name="Normal 2 4 4 5 2 4 2" xfId="2532" xr:uid="{FA1E5FBE-EBA2-45BC-89CE-7276C7106706}"/>
    <cellStyle name="Normal 2 4 4 5 2 5" xfId="1541" xr:uid="{3FBCAB99-E423-4557-9EE0-8435C2DA66B7}"/>
    <cellStyle name="Normal 2 4 4 5 3" xfId="496" xr:uid="{0175883B-D1DF-4928-B55B-86501AB1F670}"/>
    <cellStyle name="Normal 2 4 4 5 3 2" xfId="1797" xr:uid="{B1534BCF-87E0-44AB-96D7-6694F3B476CC}"/>
    <cellStyle name="Normal 2 4 4 5 4" xfId="806" xr:uid="{DD82B93C-F51B-4176-B48C-B55221401045}"/>
    <cellStyle name="Normal 2 4 4 5 4 2" xfId="2107" xr:uid="{1028318F-DBF7-434B-A441-E54FB84031B1}"/>
    <cellStyle name="Normal 2 4 4 5 5" xfId="1116" xr:uid="{A75B7465-B614-43DD-8407-90682126B23D}"/>
    <cellStyle name="Normal 2 4 4 5 5 2" xfId="2417" xr:uid="{718D5031-CC58-4EDE-B50F-766B8341CDD0}"/>
    <cellStyle name="Normal 2 4 4 5 6" xfId="1426" xr:uid="{4A03A737-AB62-40E1-BC4B-F4948D9F0D23}"/>
    <cellStyle name="Normal 2 4 4 6" xfId="245" xr:uid="{3940F60A-0655-4372-AC01-9CA67A841CCB}"/>
    <cellStyle name="Normal 2 4 4 6 2" xfId="360" xr:uid="{26D9A351-D739-4DE0-9C1D-D03137AEEF74}"/>
    <cellStyle name="Normal 2 4 4 6 2 2" xfId="636" xr:uid="{539934B4-406F-40BF-B95D-2DAA2089EBBF}"/>
    <cellStyle name="Normal 2 4 4 6 2 2 2" xfId="1937" xr:uid="{0C9201D0-0386-4D0E-A589-5FD81BD510AF}"/>
    <cellStyle name="Normal 2 4 4 6 2 3" xfId="946" xr:uid="{3473DD20-1871-46F4-B655-08DDE916372F}"/>
    <cellStyle name="Normal 2 4 4 6 2 3 2" xfId="2247" xr:uid="{18413963-4F45-47B9-B67A-0FD352649D25}"/>
    <cellStyle name="Normal 2 4 4 6 2 4" xfId="1256" xr:uid="{7CC2FF12-CCF8-4E3D-9599-FED0A8A63510}"/>
    <cellStyle name="Normal 2 4 4 6 2 4 2" xfId="2557" xr:uid="{C655F61F-00FC-4F02-BEF3-AB783C40420A}"/>
    <cellStyle name="Normal 2 4 4 6 2 5" xfId="1566" xr:uid="{3F1D4C76-3907-4B3A-88BA-B1E96F0F5969}"/>
    <cellStyle name="Normal 2 4 4 6 3" xfId="521" xr:uid="{C38AC03A-A8EB-4546-838E-18E0433C25A4}"/>
    <cellStyle name="Normal 2 4 4 6 3 2" xfId="1822" xr:uid="{B93AB228-FF16-4FF7-A402-6BB1F0A4C044}"/>
    <cellStyle name="Normal 2 4 4 6 4" xfId="831" xr:uid="{EE30BCC1-9CE7-412A-B993-E0A639DF1897}"/>
    <cellStyle name="Normal 2 4 4 6 4 2" xfId="2132" xr:uid="{276C23CF-C2E1-4290-814C-EBB9E4844599}"/>
    <cellStyle name="Normal 2 4 4 6 5" xfId="1141" xr:uid="{E36A603C-3CD2-4376-A13A-1D8FDC8159E1}"/>
    <cellStyle name="Normal 2 4 4 6 5 2" xfId="2442" xr:uid="{66807C55-F744-4D90-978E-1CE97BAA4677}"/>
    <cellStyle name="Normal 2 4 4 6 6" xfId="1451" xr:uid="{ED97CD1F-39EC-4574-A0E5-5E20E042AE69}"/>
    <cellStyle name="Normal 2 4 4 7" xfId="265" xr:uid="{BABB85A3-D950-46AC-B6DC-6131609580DF}"/>
    <cellStyle name="Normal 2 4 4 7 2" xfId="541" xr:uid="{08CECBFA-CA30-42AB-80E8-64E69448F9A9}"/>
    <cellStyle name="Normal 2 4 4 7 2 2" xfId="1842" xr:uid="{ECB83DE4-101A-49EC-8ED8-A5C0D5A485B6}"/>
    <cellStyle name="Normal 2 4 4 7 3" xfId="851" xr:uid="{1B171D2E-8870-401B-86FD-85441A24EAAE}"/>
    <cellStyle name="Normal 2 4 4 7 3 2" xfId="2152" xr:uid="{124B0C0D-1E69-41E1-A7AE-94CFCDD38A27}"/>
    <cellStyle name="Normal 2 4 4 7 4" xfId="1161" xr:uid="{D83BABE9-D5CC-4104-B6C8-FB3460AF5049}"/>
    <cellStyle name="Normal 2 4 4 7 4 2" xfId="2462" xr:uid="{608007F8-661D-48E4-B70E-C899FBE7CE6F}"/>
    <cellStyle name="Normal 2 4 4 7 5" xfId="1471" xr:uid="{F245A56E-7B4B-40C1-86FF-E6306BD7FFB8}"/>
    <cellStyle name="Normal 2 4 4 8" xfId="375" xr:uid="{2F6E75F1-17E6-4DB7-ABF5-3E93DE097316}"/>
    <cellStyle name="Normal 2 4 4 8 2" xfId="651" xr:uid="{DDC59BD1-1EE2-497E-8725-175F8706C232}"/>
    <cellStyle name="Normal 2 4 4 8 2 2" xfId="1952" xr:uid="{84BF1B52-674A-4C0D-9EFF-6CE6F2FD04EC}"/>
    <cellStyle name="Normal 2 4 4 8 3" xfId="961" xr:uid="{2939C00D-3FEE-454F-9E7D-BFF42203B4F4}"/>
    <cellStyle name="Normal 2 4 4 8 3 2" xfId="2262" xr:uid="{E96F684C-949E-4D8F-B763-EA2D39AD24A9}"/>
    <cellStyle name="Normal 2 4 4 8 4" xfId="1271" xr:uid="{0C1444A0-D644-4127-93BD-9CF8CCFC2C6A}"/>
    <cellStyle name="Normal 2 4 4 8 4 2" xfId="2572" xr:uid="{0C093D03-1AB7-41FB-8903-CB7EF2B7684C}"/>
    <cellStyle name="Normal 2 4 4 8 5" xfId="1581" xr:uid="{ECEC4ABC-9D53-427F-A395-AAF5F385112F}"/>
    <cellStyle name="Normal 2 4 4 9" xfId="149" xr:uid="{A93E81BD-0A89-4DD7-B017-722646225F6B}"/>
    <cellStyle name="Normal 2 4 4 9 2" xfId="736" xr:uid="{16ABE487-4133-4960-A17A-685A17470391}"/>
    <cellStyle name="Normal 2 4 4 9 2 2" xfId="2037" xr:uid="{20AAF4EC-946F-41E9-BA00-F87D8379BE80}"/>
    <cellStyle name="Normal 2 4 4 9 3" xfId="1046" xr:uid="{966368D0-9324-474E-AD22-007C2FB2796E}"/>
    <cellStyle name="Normal 2 4 4 9 3 2" xfId="2347" xr:uid="{F322CA64-DD7F-4B4A-9ED1-6A1EA0613471}"/>
    <cellStyle name="Normal 2 4 4 9 4" xfId="1356" xr:uid="{02388766-916D-4708-8E55-D6AFBB23CD9D}"/>
    <cellStyle name="Normal 2 4 5" xfId="114" xr:uid="{8B58EBFA-B72E-4499-B3A1-A7E658C42F66}"/>
    <cellStyle name="Normal 2 4 5 2" xfId="305" xr:uid="{16124CD5-0140-4834-BD24-F5394EECAF70}"/>
    <cellStyle name="Normal 2 4 5 2 2" xfId="581" xr:uid="{D6F4DAC5-C3AB-4D4C-89E8-18E33C817210}"/>
    <cellStyle name="Normal 2 4 5 2 2 2" xfId="1882" xr:uid="{E5A15BE5-8238-4EE5-8B82-D4A984BD7C88}"/>
    <cellStyle name="Normal 2 4 5 2 3" xfId="891" xr:uid="{F22CFC96-C20D-4C83-8E22-64E7F2C617FA}"/>
    <cellStyle name="Normal 2 4 5 2 3 2" xfId="2192" xr:uid="{F0F6C830-55BF-453F-B53A-40C3D01A5E46}"/>
    <cellStyle name="Normal 2 4 5 2 4" xfId="1201" xr:uid="{A31CE1E7-14CD-47DA-A32A-FB253A544DF9}"/>
    <cellStyle name="Normal 2 4 5 2 4 2" xfId="2502" xr:uid="{5DB5C050-B9EE-4064-A7BB-B58F07BE4C36}"/>
    <cellStyle name="Normal 2 4 5 2 5" xfId="1511" xr:uid="{86784B62-52A8-484D-B12C-374B77CB9BC1}"/>
    <cellStyle name="Normal 2 4 5 3" xfId="385" xr:uid="{D98D347B-CBD9-49DB-8068-28719D531476}"/>
    <cellStyle name="Normal 2 4 5 3 2" xfId="661" xr:uid="{968CBA65-1DAE-4FB6-81EF-56D0DC0A6F75}"/>
    <cellStyle name="Normal 2 4 5 3 2 2" xfId="1962" xr:uid="{C80017E0-10C9-4D43-9A48-4B9617DEC6A2}"/>
    <cellStyle name="Normal 2 4 5 3 3" xfId="971" xr:uid="{640E3AAB-F820-4273-A211-7DF733E4EAC3}"/>
    <cellStyle name="Normal 2 4 5 3 3 2" xfId="2272" xr:uid="{4092420D-07F1-40B2-8731-CA18CCDE7F56}"/>
    <cellStyle name="Normal 2 4 5 3 4" xfId="1281" xr:uid="{AF17897B-AE94-41ED-83E5-8AC365DA623B}"/>
    <cellStyle name="Normal 2 4 5 3 4 2" xfId="2582" xr:uid="{EDDDF788-40C3-45DB-910B-67E914DEDFDF}"/>
    <cellStyle name="Normal 2 4 5 3 5" xfId="1591" xr:uid="{359B50C3-7024-49B6-852F-579D4F9DDD0B}"/>
    <cellStyle name="Normal 2 4 5 4" xfId="190" xr:uid="{C3A7B037-1CF1-4BEF-BF77-125CBBB84868}"/>
    <cellStyle name="Normal 2 4 5 4 2" xfId="776" xr:uid="{5398D526-09AD-4AB0-B7C4-472BA291B436}"/>
    <cellStyle name="Normal 2 4 5 4 2 2" xfId="2077" xr:uid="{46B471ED-F02C-4ED8-B096-8652E099097A}"/>
    <cellStyle name="Normal 2 4 5 4 3" xfId="1086" xr:uid="{B8F75251-1B87-4C55-BFED-24629BDC3C42}"/>
    <cellStyle name="Normal 2 4 5 4 3 2" xfId="2387" xr:uid="{820E0EFC-05A1-4F19-A1C2-18E575076CED}"/>
    <cellStyle name="Normal 2 4 5 4 4" xfId="1396" xr:uid="{208D42E1-09E8-4BA0-899C-5A62F012C057}"/>
    <cellStyle name="Normal 2 4 5 5" xfId="432" xr:uid="{B77899AF-4717-4B8A-BCFD-00E764663DE9}"/>
    <cellStyle name="Normal 2 4 5 5 2" xfId="1733" xr:uid="{02686326-56BA-40C6-B0F1-DF9039C3EFD0}"/>
    <cellStyle name="Normal 2 4 5 6" xfId="701" xr:uid="{3F454BCE-B62E-4333-A824-7A1A78C9BFD8}"/>
    <cellStyle name="Normal 2 4 5 6 2" xfId="2002" xr:uid="{87006609-1FEA-4E55-ADAF-56FA1235030C}"/>
    <cellStyle name="Normal 2 4 5 7" xfId="1011" xr:uid="{5433AF21-75CC-4A1F-A90B-DB4A56F640D3}"/>
    <cellStyle name="Normal 2 4 5 7 2" xfId="2312" xr:uid="{F2EE11D0-0D6D-4861-8613-CB31B461339E}"/>
    <cellStyle name="Normal 2 4 5 8" xfId="1321" xr:uid="{A825D2E6-F000-4D68-A831-7D8C455785C7}"/>
    <cellStyle name="Normal 2 4 6" xfId="230" xr:uid="{B16686CA-CDEE-453B-886A-B4B28FFFD0A1}"/>
    <cellStyle name="Normal 2 4 6 2" xfId="345" xr:uid="{FB121C4F-97A6-433E-A857-3D29FD0F25B3}"/>
    <cellStyle name="Normal 2 4 6 2 2" xfId="621" xr:uid="{47AA6DF3-439C-497D-90B3-CE6262077BD1}"/>
    <cellStyle name="Normal 2 4 6 2 2 2" xfId="1922" xr:uid="{6C2C92C4-E317-4504-9134-BC7B279F60D9}"/>
    <cellStyle name="Normal 2 4 6 2 3" xfId="931" xr:uid="{81753D24-4D0F-4E58-A43A-BC5D8D8D6815}"/>
    <cellStyle name="Normal 2 4 6 2 3 2" xfId="2232" xr:uid="{3D09BB94-BFD7-4495-BF0D-DDBB73EE01F7}"/>
    <cellStyle name="Normal 2 4 6 2 4" xfId="1241" xr:uid="{45541A74-B660-4816-9AFA-CB99694B36E7}"/>
    <cellStyle name="Normal 2 4 6 2 4 2" xfId="2542" xr:uid="{0A490075-D929-4FB6-BF5E-58F472325BB2}"/>
    <cellStyle name="Normal 2 4 6 2 5" xfId="1551" xr:uid="{FA00CD74-8510-436B-AF76-5DCCA398BD30}"/>
    <cellStyle name="Normal 2 4 6 3" xfId="506" xr:uid="{8786D764-2F1B-496A-92F3-3072B5B5FA46}"/>
    <cellStyle name="Normal 2 4 6 3 2" xfId="1807" xr:uid="{758DFCD6-218A-47AD-BCD6-B3E31AD09C0C}"/>
    <cellStyle name="Normal 2 4 6 4" xfId="816" xr:uid="{CE52285C-6B83-43CD-BAC6-76777B5B3AC2}"/>
    <cellStyle name="Normal 2 4 6 4 2" xfId="2117" xr:uid="{1594923B-CF98-4017-B40B-AC3ED26C92E4}"/>
    <cellStyle name="Normal 2 4 6 5" xfId="1126" xr:uid="{EA12DA5C-7EFE-4B43-83B7-8FAEEF21CA81}"/>
    <cellStyle name="Normal 2 4 6 5 2" xfId="2427" xr:uid="{543BEEE5-2CD6-4D4E-8574-1DDDC19172F3}"/>
    <cellStyle name="Normal 2 4 6 6" xfId="1436" xr:uid="{FF849012-43E7-481C-B75F-5ABC3133768E}"/>
    <cellStyle name="Normal 2 4 7" xfId="255" xr:uid="{993DF078-3153-4E37-8BEB-34D54CB66B31}"/>
    <cellStyle name="Normal 2 4 7 2" xfId="531" xr:uid="{58BA2905-A359-4776-A20F-77FB8B9B2AC5}"/>
    <cellStyle name="Normal 2 4 7 2 2" xfId="1832" xr:uid="{6AFF01EC-1580-4A6D-A21C-2CCA731EC44D}"/>
    <cellStyle name="Normal 2 4 7 3" xfId="841" xr:uid="{70D33F97-0F7C-4D79-833F-11D6F7E501F6}"/>
    <cellStyle name="Normal 2 4 7 3 2" xfId="2142" xr:uid="{DAEBCE82-348B-4790-8FF7-E80FED0640AB}"/>
    <cellStyle name="Normal 2 4 7 4" xfId="1151" xr:uid="{2049E55F-4A88-435A-B09C-D87BCCFBA6E2}"/>
    <cellStyle name="Normal 2 4 7 4 2" xfId="2452" xr:uid="{A097CE30-2A5E-417D-98F7-B15B0646F4F3}"/>
    <cellStyle name="Normal 2 4 7 5" xfId="1461" xr:uid="{3373579B-7D03-450B-AEC2-743D727C1C2A}"/>
    <cellStyle name="Normal 2 4 8" xfId="139" xr:uid="{8A9FAD63-2516-46CD-998E-7EAE16AF281D}"/>
    <cellStyle name="Normal 2 4 8 2" xfId="726" xr:uid="{8CA10378-7CF6-47A9-AF87-71DD9CC2F155}"/>
    <cellStyle name="Normal 2 4 8 2 2" xfId="2027" xr:uid="{1D9BDF7B-BB9C-4FDA-BCFA-B0FF4ED5B9D8}"/>
    <cellStyle name="Normal 2 4 8 3" xfId="1036" xr:uid="{98EE66EF-AD80-4536-9D33-4F96018BF7CF}"/>
    <cellStyle name="Normal 2 4 8 3 2" xfId="2337" xr:uid="{2F5C63CA-8F2E-427B-9D10-C3EADC559FD2}"/>
    <cellStyle name="Normal 2 4 8 4" xfId="1346" xr:uid="{AB5AF0A4-9E9F-4A0D-BE30-7E936507238C}"/>
    <cellStyle name="Normal 2 5" xfId="57" xr:uid="{233B05D9-8504-4F92-8D50-C29C13DDDF89}"/>
    <cellStyle name="Normal 2 5 10" xfId="371" xr:uid="{AF3B4726-C357-4AD1-8484-E85EFB92BFDF}"/>
    <cellStyle name="Normal 2 5 10 2" xfId="647" xr:uid="{B92945F5-BBEC-4482-A26F-A7A0CF0B05D1}"/>
    <cellStyle name="Normal 2 5 10 2 2" xfId="1948" xr:uid="{8FAC9C50-F559-40F8-BC90-A673EAF47772}"/>
    <cellStyle name="Normal 2 5 10 3" xfId="957" xr:uid="{69AAF84F-C11C-4B88-BA40-709CDFE8BF18}"/>
    <cellStyle name="Normal 2 5 10 3 2" xfId="2258" xr:uid="{7562CFC8-493D-4BFC-BE3E-789886FD0D07}"/>
    <cellStyle name="Normal 2 5 10 4" xfId="1267" xr:uid="{46254020-A84A-4DAE-B702-BA04125EB839}"/>
    <cellStyle name="Normal 2 5 10 4 2" xfId="2568" xr:uid="{780C7CA7-1B30-4E09-9402-1BBFADCC82C0}"/>
    <cellStyle name="Normal 2 5 10 5" xfId="1577" xr:uid="{B58B958B-C9AD-4805-85D8-DB4ADCF73896}"/>
    <cellStyle name="Normal 2 5 11" xfId="140" xr:uid="{F678EE9C-9AD6-4E54-A06C-12623AC4C049}"/>
    <cellStyle name="Normal 2 5 11 2" xfId="727" xr:uid="{EC0B6F3B-EE88-498E-8D35-F0CB89901514}"/>
    <cellStyle name="Normal 2 5 11 2 2" xfId="2028" xr:uid="{42B0A1CD-7E1B-4290-8DC9-C088A4951393}"/>
    <cellStyle name="Normal 2 5 11 3" xfId="1037" xr:uid="{B6EF1972-F9CF-4F02-A438-24A28EF669E8}"/>
    <cellStyle name="Normal 2 5 11 3 2" xfId="2338" xr:uid="{FD7CE68E-6C90-4C57-8B88-8DDBD5364C16}"/>
    <cellStyle name="Normal 2 5 11 4" xfId="1347" xr:uid="{247487F1-149F-49C0-B169-C9D75AE76FFF}"/>
    <cellStyle name="Normal 2 5 12" xfId="418" xr:uid="{F65F2D0E-D96E-47B4-8922-9CCEB41C5CC5}"/>
    <cellStyle name="Normal 2 5 12 2" xfId="1719" xr:uid="{1AEA7434-8900-4E16-85FD-DC4A19B990B1}"/>
    <cellStyle name="Normal 2 5 13" xfId="687" xr:uid="{B0A802B1-8D55-4AE8-B048-318678B45C57}"/>
    <cellStyle name="Normal 2 5 13 2" xfId="1988" xr:uid="{9565A9AD-A920-4B96-AA80-AC0268092D79}"/>
    <cellStyle name="Normal 2 5 14" xfId="997" xr:uid="{3915F3A3-7ACB-4C96-89FF-970890009C7B}"/>
    <cellStyle name="Normal 2 5 14 2" xfId="2298" xr:uid="{4C3828FA-5DFC-42B0-960E-8FE8C54C460C}"/>
    <cellStyle name="Normal 2 5 15" xfId="1307" xr:uid="{DF81D7FA-0B6C-41A4-AC66-E69827D7B8C2}"/>
    <cellStyle name="Normal 2 5 2" xfId="110" xr:uid="{760CBBAD-3255-4DC3-8DB5-8762A9C32E1B}"/>
    <cellStyle name="Normal 2 5 2 10" xfId="145" xr:uid="{AD40EA36-B2B2-4FC3-AA79-5FC8D5409807}"/>
    <cellStyle name="Normal 2 5 2 10 2" xfId="732" xr:uid="{25E170B6-9D0B-4769-B14C-F0299D2B253C}"/>
    <cellStyle name="Normal 2 5 2 10 2 2" xfId="2033" xr:uid="{8AE2A2BD-FE4D-43BB-AD1E-8D0A0BAB4854}"/>
    <cellStyle name="Normal 2 5 2 10 3" xfId="1042" xr:uid="{759A90A8-A9BA-4950-9DE4-4B135E8CA823}"/>
    <cellStyle name="Normal 2 5 2 10 3 2" xfId="2343" xr:uid="{D953FEDD-9710-4C84-ACA7-DD1B329A085C}"/>
    <cellStyle name="Normal 2 5 2 10 4" xfId="1352" xr:uid="{44D4D4F1-8ECE-40F6-9439-178A872B9281}"/>
    <cellStyle name="Normal 2 5 2 11" xfId="428" xr:uid="{659F420B-E560-48B3-81A2-4CA4598EB5A1}"/>
    <cellStyle name="Normal 2 5 2 11 2" xfId="1729" xr:uid="{9D35E1FB-5D21-48A0-9FE3-0CF7FE510953}"/>
    <cellStyle name="Normal 2 5 2 12" xfId="697" xr:uid="{EDA7FCD6-D914-4C0E-8B9C-22E63E97DFC6}"/>
    <cellStyle name="Normal 2 5 2 12 2" xfId="1998" xr:uid="{733D01C2-43B3-4E4C-8A36-7B77A3D74151}"/>
    <cellStyle name="Normal 2 5 2 13" xfId="1007" xr:uid="{CE56C771-3261-4590-80B6-9B934F1D206A}"/>
    <cellStyle name="Normal 2 5 2 13 2" xfId="2308" xr:uid="{7AA9AA22-89EE-49D4-AE39-BBC10E1484CD}"/>
    <cellStyle name="Normal 2 5 2 14" xfId="1317" xr:uid="{F533F949-37DA-46A3-BD66-22E11BCBCDE8}"/>
    <cellStyle name="Normal 2 5 2 2" xfId="135" xr:uid="{3AF8098D-8C1B-48FA-BE87-B29A80A23121}"/>
    <cellStyle name="Normal 2 5 2 2 10" xfId="1342" xr:uid="{0C45C9D9-3F48-4EDF-B10D-ECA1113B43E7}"/>
    <cellStyle name="Normal 2 5 2 2 2" xfId="211" xr:uid="{A27ECD42-3803-4676-8951-CF88043D64DF}"/>
    <cellStyle name="Normal 2 5 2 2 2 2" xfId="326" xr:uid="{229CFB52-7D6E-4610-BB83-67C59BD8D133}"/>
    <cellStyle name="Normal 2 5 2 2 2 2 2" xfId="602" xr:uid="{B8760035-3437-4E56-934C-7B2ACE9E610C}"/>
    <cellStyle name="Normal 2 5 2 2 2 2 2 2" xfId="1903" xr:uid="{40BEAF96-6F2F-48B0-BE23-F3BC58CF5352}"/>
    <cellStyle name="Normal 2 5 2 2 2 2 3" xfId="912" xr:uid="{05F64FC8-2448-4F6C-9BEA-988870CBAF90}"/>
    <cellStyle name="Normal 2 5 2 2 2 2 3 2" xfId="2213" xr:uid="{3DFE717A-A513-4581-906F-A3E5589A36DA}"/>
    <cellStyle name="Normal 2 5 2 2 2 2 4" xfId="1222" xr:uid="{8BA1C378-8A1B-4772-8602-743339680AC4}"/>
    <cellStyle name="Normal 2 5 2 2 2 2 4 2" xfId="2523" xr:uid="{FB29B253-1FD7-4EAC-AB20-807CF9A2EB19}"/>
    <cellStyle name="Normal 2 5 2 2 2 2 5" xfId="1532" xr:uid="{93440FDD-2C38-4081-A220-AA465A4068FB}"/>
    <cellStyle name="Normal 2 5 2 2 2 3" xfId="487" xr:uid="{503932D8-7167-4DE6-B60C-B964669DA018}"/>
    <cellStyle name="Normal 2 5 2 2 2 3 2" xfId="1788" xr:uid="{EC58AB2C-3797-4749-9B96-67785DD10344}"/>
    <cellStyle name="Normal 2 5 2 2 2 4" xfId="797" xr:uid="{DF20BCD7-EDEC-4C2B-987E-40668CD9B65B}"/>
    <cellStyle name="Normal 2 5 2 2 2 4 2" xfId="2098" xr:uid="{5DF4EAF9-3CEC-45F4-BDA7-1BFEE463DF89}"/>
    <cellStyle name="Normal 2 5 2 2 2 5" xfId="1107" xr:uid="{396C62A7-264E-4A5D-A297-D19ADCACE57D}"/>
    <cellStyle name="Normal 2 5 2 2 2 5 2" xfId="2408" xr:uid="{95E7E201-A51D-465D-95D9-4DE268069879}"/>
    <cellStyle name="Normal 2 5 2 2 2 6" xfId="1417" xr:uid="{97937B88-3699-4130-B6E0-37B809D6EC8F}"/>
    <cellStyle name="Normal 2 5 2 2 3" xfId="251" xr:uid="{CBA5491F-D893-4A25-8B29-BDFF36431E47}"/>
    <cellStyle name="Normal 2 5 2 2 3 2" xfId="366" xr:uid="{D5DE873B-BE8E-458F-BE5C-0A3E374DF399}"/>
    <cellStyle name="Normal 2 5 2 2 3 2 2" xfId="642" xr:uid="{408996BB-75C0-4C72-83A3-2A975B3FEE0C}"/>
    <cellStyle name="Normal 2 5 2 2 3 2 2 2" xfId="1943" xr:uid="{E99DA485-349F-4097-9F0D-0CD52C451AC4}"/>
    <cellStyle name="Normal 2 5 2 2 3 2 3" xfId="952" xr:uid="{76C507EA-F1BA-4BE8-966D-60BE29D363E2}"/>
    <cellStyle name="Normal 2 5 2 2 3 2 3 2" xfId="2253" xr:uid="{48B260A1-E0B2-434F-B94E-C56234B61BA4}"/>
    <cellStyle name="Normal 2 5 2 2 3 2 4" xfId="1262" xr:uid="{00175461-FB33-4A4F-A1CD-B6FA946D1FE2}"/>
    <cellStyle name="Normal 2 5 2 2 3 2 4 2" xfId="2563" xr:uid="{BD1DA959-A859-4812-8053-71D660B967EA}"/>
    <cellStyle name="Normal 2 5 2 2 3 2 5" xfId="1572" xr:uid="{648F09C0-7A7B-4BEB-9946-1FC84C0CE1B2}"/>
    <cellStyle name="Normal 2 5 2 2 3 3" xfId="527" xr:uid="{6950D0A4-169F-439E-A195-984EC4C876D9}"/>
    <cellStyle name="Normal 2 5 2 2 3 3 2" xfId="1828" xr:uid="{137F8748-6B1E-43C2-B492-3C83946B10B7}"/>
    <cellStyle name="Normal 2 5 2 2 3 4" xfId="837" xr:uid="{9356A0BE-24A4-48D0-BB11-69B9276E0CDC}"/>
    <cellStyle name="Normal 2 5 2 2 3 4 2" xfId="2138" xr:uid="{356DA3B7-232F-469C-B93D-F5A2ADEA2DD8}"/>
    <cellStyle name="Normal 2 5 2 2 3 5" xfId="1147" xr:uid="{AAAD6FB1-50A6-4541-92AD-29FB5FF7E7BE}"/>
    <cellStyle name="Normal 2 5 2 2 3 5 2" xfId="2448" xr:uid="{D8DA6E2A-CF49-415B-AFE9-D9D7BF32600C}"/>
    <cellStyle name="Normal 2 5 2 2 3 6" xfId="1457" xr:uid="{A18E12D2-DE8E-4BA4-820B-17522887733B}"/>
    <cellStyle name="Normal 2 5 2 2 4" xfId="271" xr:uid="{7D105685-429C-4665-821C-FD2E856190BA}"/>
    <cellStyle name="Normal 2 5 2 2 4 2" xfId="547" xr:uid="{85C07FC9-6B00-4913-BF18-BE83739EBFDA}"/>
    <cellStyle name="Normal 2 5 2 2 4 2 2" xfId="1848" xr:uid="{6F8953C7-0B17-42FC-965C-F4CE2BC1F1C3}"/>
    <cellStyle name="Normal 2 5 2 2 4 3" xfId="857" xr:uid="{207B2B34-A86D-4191-B961-25439DAB89A7}"/>
    <cellStyle name="Normal 2 5 2 2 4 3 2" xfId="2158" xr:uid="{6C148627-E9C1-452F-B8A3-F1B0A4C13E5B}"/>
    <cellStyle name="Normal 2 5 2 2 4 4" xfId="1167" xr:uid="{FE830522-3541-483B-B145-B6AB2C354D0B}"/>
    <cellStyle name="Normal 2 5 2 2 4 4 2" xfId="2468" xr:uid="{AF8E0B6B-B573-4684-B81E-AEE1E9C69A25}"/>
    <cellStyle name="Normal 2 5 2 2 4 5" xfId="1477" xr:uid="{9661C75F-4D70-47EC-9D4D-FBC97155AA7D}"/>
    <cellStyle name="Normal 2 5 2 2 5" xfId="406" xr:uid="{6E03EA0F-E3F6-42FC-9BCC-00596C83DA07}"/>
    <cellStyle name="Normal 2 5 2 2 5 2" xfId="682" xr:uid="{B365946A-DC4C-4CE1-9383-022DF68E62C6}"/>
    <cellStyle name="Normal 2 5 2 2 5 2 2" xfId="1983" xr:uid="{77313F82-F051-4163-BDE4-0F675A4010B3}"/>
    <cellStyle name="Normal 2 5 2 2 5 3" xfId="992" xr:uid="{01134807-3D76-4382-B4F2-2081C5F0181C}"/>
    <cellStyle name="Normal 2 5 2 2 5 3 2" xfId="2293" xr:uid="{E48B7807-C54D-4BB1-8845-63BC88B3C03F}"/>
    <cellStyle name="Normal 2 5 2 2 5 4" xfId="1302" xr:uid="{C3CCF781-0942-483D-813D-6A8106A27C3A}"/>
    <cellStyle name="Normal 2 5 2 2 5 4 2" xfId="2603" xr:uid="{CF3A1AE5-B8F2-45A7-AAB2-7986E47FD00F}"/>
    <cellStyle name="Normal 2 5 2 2 5 5" xfId="1612" xr:uid="{9CDFB9AE-FEE8-4441-9409-0FDBDDEF5F2B}"/>
    <cellStyle name="Normal 2 5 2 2 6" xfId="155" xr:uid="{D0BF6367-162E-41BA-A659-8448546BC3D4}"/>
    <cellStyle name="Normal 2 5 2 2 6 2" xfId="742" xr:uid="{9D41A75B-3772-4BD4-872A-542901448078}"/>
    <cellStyle name="Normal 2 5 2 2 6 2 2" xfId="2043" xr:uid="{652D3FEE-3C8E-4E28-BE7D-5E14CEA58DF3}"/>
    <cellStyle name="Normal 2 5 2 2 6 3" xfId="1052" xr:uid="{0630BF82-34C5-44BC-B248-2E1DF0488951}"/>
    <cellStyle name="Normal 2 5 2 2 6 3 2" xfId="2353" xr:uid="{7C9743E2-8CEA-42A5-9612-D1284A56462C}"/>
    <cellStyle name="Normal 2 5 2 2 6 4" xfId="1362" xr:uid="{004031DE-CEB9-415E-B4AA-2D6FD464ED45}"/>
    <cellStyle name="Normal 2 5 2 2 7" xfId="453" xr:uid="{BB10FFD2-DB39-4049-8A3F-A01FA64C46DE}"/>
    <cellStyle name="Normal 2 5 2 2 7 2" xfId="1754" xr:uid="{412B7F84-EF5F-49A3-9A68-02D14A51B349}"/>
    <cellStyle name="Normal 2 5 2 2 8" xfId="722" xr:uid="{4E2BF59A-9F7E-416A-9546-B0CBF0182969}"/>
    <cellStyle name="Normal 2 5 2 2 8 2" xfId="2023" xr:uid="{0AD1D356-0737-4E2F-87B6-81F50C315F8E}"/>
    <cellStyle name="Normal 2 5 2 2 9" xfId="1032" xr:uid="{28A4F334-DC20-408D-823D-76998A5272F5}"/>
    <cellStyle name="Normal 2 5 2 2 9 2" xfId="2333" xr:uid="{B517C920-083E-421B-9B36-E447AAF77D30}"/>
    <cellStyle name="Normal 2 5 2 3" xfId="120" xr:uid="{9DCC929E-897F-482A-A783-0D977D5A5E51}"/>
    <cellStyle name="Normal 2 5 2 3 2" xfId="286" xr:uid="{F1B43CA9-D07B-43DD-848F-02E511B5A815}"/>
    <cellStyle name="Normal 2 5 2 3 2 2" xfId="562" xr:uid="{04DFB123-6817-4736-9AB3-BE53DBB9CE57}"/>
    <cellStyle name="Normal 2 5 2 3 2 2 2" xfId="1863" xr:uid="{1C7746AA-815C-4A86-900E-9964616AD73F}"/>
    <cellStyle name="Normal 2 5 2 3 2 3" xfId="872" xr:uid="{8F3F8D9B-F4DE-46F0-BCB4-1281C67F3CBD}"/>
    <cellStyle name="Normal 2 5 2 3 2 3 2" xfId="2173" xr:uid="{5EE79528-A4EF-479C-9A8E-F12C50241781}"/>
    <cellStyle name="Normal 2 5 2 3 2 4" xfId="1182" xr:uid="{05368352-B92C-4BF1-9D34-7C0D181AA523}"/>
    <cellStyle name="Normal 2 5 2 3 2 4 2" xfId="2483" xr:uid="{534EC98F-786D-42F5-A24A-F65223DC872E}"/>
    <cellStyle name="Normal 2 5 2 3 2 5" xfId="1492" xr:uid="{25DEE506-D81B-429B-9565-516F5C2AB346}"/>
    <cellStyle name="Normal 2 5 2 3 3" xfId="391" xr:uid="{91B049A7-602C-4639-92AA-F3FDB1BEF220}"/>
    <cellStyle name="Normal 2 5 2 3 3 2" xfId="667" xr:uid="{1AEEB893-737D-406A-BC9D-7EB928646E5A}"/>
    <cellStyle name="Normal 2 5 2 3 3 2 2" xfId="1968" xr:uid="{CA0923AC-EF4C-4CF5-90C9-EBDBFA27390E}"/>
    <cellStyle name="Normal 2 5 2 3 3 3" xfId="977" xr:uid="{81D5F147-CAD4-41F7-9C14-B511D5BBC4F3}"/>
    <cellStyle name="Normal 2 5 2 3 3 3 2" xfId="2278" xr:uid="{AA0E8E7C-888D-4775-9F3B-4FCF1D0EB6CB}"/>
    <cellStyle name="Normal 2 5 2 3 3 4" xfId="1287" xr:uid="{412ABFFF-70C8-434F-9EAD-337CE1F8E742}"/>
    <cellStyle name="Normal 2 5 2 3 3 4 2" xfId="2588" xr:uid="{165525E7-035F-4431-AE12-14491D4D1741}"/>
    <cellStyle name="Normal 2 5 2 3 3 5" xfId="1597" xr:uid="{6148796A-417E-4FE1-9742-360F0ED25479}"/>
    <cellStyle name="Normal 2 5 2 3 4" xfId="170" xr:uid="{F6858F1C-E9D1-497E-B752-4E0148A95584}"/>
    <cellStyle name="Normal 2 5 2 3 4 2" xfId="757" xr:uid="{CFC86377-80AB-4BC2-89A7-BB69F5DB54E3}"/>
    <cellStyle name="Normal 2 5 2 3 4 2 2" xfId="2058" xr:uid="{9A6BC2E8-4A6C-4EA7-BFAB-164AEB49EB12}"/>
    <cellStyle name="Normal 2 5 2 3 4 3" xfId="1067" xr:uid="{6DF1A0E5-409F-4CA3-8054-9F0272B50769}"/>
    <cellStyle name="Normal 2 5 2 3 4 3 2" xfId="2368" xr:uid="{22619DF4-B556-4DD0-AD75-EBBA464DA019}"/>
    <cellStyle name="Normal 2 5 2 3 4 4" xfId="1377" xr:uid="{00BF6E7B-678A-44CA-858C-E7AD92EC89EF}"/>
    <cellStyle name="Normal 2 5 2 3 5" xfId="438" xr:uid="{26B3E509-F50C-4E71-AE3D-4F04DE295938}"/>
    <cellStyle name="Normal 2 5 2 3 5 2" xfId="1739" xr:uid="{883C5E8D-B097-4B36-8961-7581A3DF3A5A}"/>
    <cellStyle name="Normal 2 5 2 3 6" xfId="707" xr:uid="{845BB47A-EF10-475C-9142-E50603A97A7F}"/>
    <cellStyle name="Normal 2 5 2 3 6 2" xfId="2008" xr:uid="{9F6C09E4-1E0B-44B9-AC41-6B93E512E484}"/>
    <cellStyle name="Normal 2 5 2 3 7" xfId="1017" xr:uid="{D42FA5D6-8B81-488B-B264-51E677BC0FAC}"/>
    <cellStyle name="Normal 2 5 2 3 7 2" xfId="2318" xr:uid="{465E4EA4-8253-4081-BB75-4E7FB1C32B52}"/>
    <cellStyle name="Normal 2 5 2 3 8" xfId="1327" xr:uid="{E86C7B6A-5959-427A-A584-728C069292E7}"/>
    <cellStyle name="Normal 2 5 2 4" xfId="185" xr:uid="{D8B09B31-0636-45A8-8022-C6510A9E5421}"/>
    <cellStyle name="Normal 2 5 2 4 2" xfId="301" xr:uid="{6DCBEBEE-C349-4B07-97DA-85A6B60946B4}"/>
    <cellStyle name="Normal 2 5 2 4 2 2" xfId="577" xr:uid="{88955D00-837E-469F-8D7B-8765DA562A87}"/>
    <cellStyle name="Normal 2 5 2 4 2 2 2" xfId="1878" xr:uid="{ABB76331-C0A5-409A-B20C-BE6A23B19958}"/>
    <cellStyle name="Normal 2 5 2 4 2 3" xfId="887" xr:uid="{6527272F-164A-4FA3-AB22-BDBB7B525F61}"/>
    <cellStyle name="Normal 2 5 2 4 2 3 2" xfId="2188" xr:uid="{1ED31A72-FA99-4790-9F6F-D13B328A03DF}"/>
    <cellStyle name="Normal 2 5 2 4 2 4" xfId="1197" xr:uid="{26DD0ADB-7F73-403C-B4D7-3E6EEA5D47B8}"/>
    <cellStyle name="Normal 2 5 2 4 2 4 2" xfId="2498" xr:uid="{3BFD4ABA-F26A-4925-AFCF-ED3EB39DFED0}"/>
    <cellStyle name="Normal 2 5 2 4 2 5" xfId="1507" xr:uid="{BE03DFC0-090C-4311-B58E-9F9435102CDA}"/>
    <cellStyle name="Normal 2 5 2 4 3" xfId="463" xr:uid="{779CF846-5F1E-4B1F-A1CF-8E37AEC77841}"/>
    <cellStyle name="Normal 2 5 2 4 3 2" xfId="1764" xr:uid="{E3491704-3EDC-4B1D-BBAB-0BBDD3F612D8}"/>
    <cellStyle name="Normal 2 5 2 4 4" xfId="772" xr:uid="{BF3F92A3-8718-4CD0-9203-B1E04CC2314C}"/>
    <cellStyle name="Normal 2 5 2 4 4 2" xfId="2073" xr:uid="{3A0750B9-50F4-4010-B399-4E7B5EB93595}"/>
    <cellStyle name="Normal 2 5 2 4 5" xfId="1082" xr:uid="{C5ED5486-F9B6-47C9-93FA-2AACD0DAE8A8}"/>
    <cellStyle name="Normal 2 5 2 4 5 2" xfId="2383" xr:uid="{CC27A670-8AED-4B4C-9265-7D4E8CEC08AD}"/>
    <cellStyle name="Normal 2 5 2 4 6" xfId="1392" xr:uid="{48950D17-65B9-4EF5-9D48-F9AA657FEBC8}"/>
    <cellStyle name="Normal 2 5 2 5" xfId="196" xr:uid="{1990A629-5238-487A-B35C-6D2193941529}"/>
    <cellStyle name="Normal 2 5 2 5 2" xfId="311" xr:uid="{262C6FF0-CC66-4DB4-945E-BB6D932716A4}"/>
    <cellStyle name="Normal 2 5 2 5 2 2" xfId="587" xr:uid="{360C43FA-0A13-4DC6-810B-3B5210005A01}"/>
    <cellStyle name="Normal 2 5 2 5 2 2 2" xfId="1888" xr:uid="{A5759D3A-B9D2-4363-963B-493D97F0BBBC}"/>
    <cellStyle name="Normal 2 5 2 5 2 3" xfId="897" xr:uid="{6110A306-50A1-49B0-8DDB-63ACC4E68271}"/>
    <cellStyle name="Normal 2 5 2 5 2 3 2" xfId="2198" xr:uid="{468B477A-2999-43D1-80D0-1579EFC6580E}"/>
    <cellStyle name="Normal 2 5 2 5 2 4" xfId="1207" xr:uid="{1BEACB6C-F1F9-401E-9A2B-3C60A26404DE}"/>
    <cellStyle name="Normal 2 5 2 5 2 4 2" xfId="2508" xr:uid="{90FFA5E4-D13D-41F1-812A-CA32F40DC663}"/>
    <cellStyle name="Normal 2 5 2 5 2 5" xfId="1517" xr:uid="{909CA9C0-4F20-4288-87B6-DB443D74BE5A}"/>
    <cellStyle name="Normal 2 5 2 5 3" xfId="472" xr:uid="{BD2A2661-8673-47C8-9D74-D7598141DCEF}"/>
    <cellStyle name="Normal 2 5 2 5 3 2" xfId="1773" xr:uid="{EAC7E1CB-BB21-456D-B10E-1B845C928304}"/>
    <cellStyle name="Normal 2 5 2 5 4" xfId="782" xr:uid="{5F32AC5A-B4BB-42B3-8026-81DB791454D2}"/>
    <cellStyle name="Normal 2 5 2 5 4 2" xfId="2083" xr:uid="{E7B6CFF5-EB5F-4753-8ED9-9B5F5CBC663A}"/>
    <cellStyle name="Normal 2 5 2 5 5" xfId="1092" xr:uid="{4D97E0D6-2B21-4570-B05E-4D9EFAE7DFA9}"/>
    <cellStyle name="Normal 2 5 2 5 5 2" xfId="2393" xr:uid="{CB7AB357-1D61-4EFF-BAEB-C20B4907D031}"/>
    <cellStyle name="Normal 2 5 2 5 6" xfId="1402" xr:uid="{872E7AE1-A170-41F0-94EC-B2A0856541FD}"/>
    <cellStyle name="Normal 2 5 2 6" xfId="226" xr:uid="{7629D03E-1A95-414A-8475-FA501279B0F0}"/>
    <cellStyle name="Normal 2 5 2 6 2" xfId="341" xr:uid="{A00969EF-6D97-45E3-B39D-226B7D8F0018}"/>
    <cellStyle name="Normal 2 5 2 6 2 2" xfId="617" xr:uid="{30BB6F05-43BD-45E5-9762-713128548B19}"/>
    <cellStyle name="Normal 2 5 2 6 2 2 2" xfId="1918" xr:uid="{CEE743AD-6066-417A-9C86-21CB93D30FD9}"/>
    <cellStyle name="Normal 2 5 2 6 2 3" xfId="927" xr:uid="{D079FFF4-7558-408B-90A0-810F6DB567E5}"/>
    <cellStyle name="Normal 2 5 2 6 2 3 2" xfId="2228" xr:uid="{3107284C-81F3-4A34-ABF5-D7861E3DACFE}"/>
    <cellStyle name="Normal 2 5 2 6 2 4" xfId="1237" xr:uid="{C4A0EE9E-BB8D-45D8-AEB4-604A48F83C62}"/>
    <cellStyle name="Normal 2 5 2 6 2 4 2" xfId="2538" xr:uid="{EBF3572D-6034-4FD6-8996-D6F75AA05A50}"/>
    <cellStyle name="Normal 2 5 2 6 2 5" xfId="1547" xr:uid="{BAAE71B9-116D-4E5F-9183-0ADD1694B36C}"/>
    <cellStyle name="Normal 2 5 2 6 3" xfId="502" xr:uid="{1236674A-16B9-46AB-AE72-940D3AF69876}"/>
    <cellStyle name="Normal 2 5 2 6 3 2" xfId="1803" xr:uid="{ACF340E8-6222-45D9-83E3-C6D38242B519}"/>
    <cellStyle name="Normal 2 5 2 6 4" xfId="812" xr:uid="{F8C457CB-CAE6-42B3-8910-5001F2445EC2}"/>
    <cellStyle name="Normal 2 5 2 6 4 2" xfId="2113" xr:uid="{5C2E8B27-D878-4EB1-A9C6-121583BB0C00}"/>
    <cellStyle name="Normal 2 5 2 6 5" xfId="1122" xr:uid="{116E10CE-3C10-423E-B87B-C893B5DA1BD9}"/>
    <cellStyle name="Normal 2 5 2 6 5 2" xfId="2423" xr:uid="{0D7BAD58-23F6-4E04-90FE-E1D75098434A}"/>
    <cellStyle name="Normal 2 5 2 6 6" xfId="1432" xr:uid="{67658DDB-06C9-4590-8E8B-7375AFB30853}"/>
    <cellStyle name="Normal 2 5 2 7" xfId="236" xr:uid="{AA8F90DA-5E49-4289-843F-75FA9105DCD0}"/>
    <cellStyle name="Normal 2 5 2 7 2" xfId="351" xr:uid="{86DC356A-9973-4753-B2BD-C98EBF391017}"/>
    <cellStyle name="Normal 2 5 2 7 2 2" xfId="627" xr:uid="{0D59FB77-38E8-4EAF-A196-8489F10C9FF3}"/>
    <cellStyle name="Normal 2 5 2 7 2 2 2" xfId="1928" xr:uid="{1B9A2B01-4A42-4789-B7F8-2D1E3BA74513}"/>
    <cellStyle name="Normal 2 5 2 7 2 3" xfId="937" xr:uid="{DF3ACEE0-7095-4EEF-9A80-BE69F5BC8971}"/>
    <cellStyle name="Normal 2 5 2 7 2 3 2" xfId="2238" xr:uid="{5759C184-8F7C-499E-98E6-224818C2C992}"/>
    <cellStyle name="Normal 2 5 2 7 2 4" xfId="1247" xr:uid="{6CEA8122-6EF3-4033-BEB0-FAF8F567F42C}"/>
    <cellStyle name="Normal 2 5 2 7 2 4 2" xfId="2548" xr:uid="{65EF4C78-5B9D-40BB-931E-4A22F8F61B0E}"/>
    <cellStyle name="Normal 2 5 2 7 2 5" xfId="1557" xr:uid="{225445B7-CA02-482C-ACF7-815BB83F0532}"/>
    <cellStyle name="Normal 2 5 2 7 3" xfId="512" xr:uid="{78C6474A-1767-4D50-A32C-170DA668D5FC}"/>
    <cellStyle name="Normal 2 5 2 7 3 2" xfId="1813" xr:uid="{65D92B7E-EF10-4968-A4CA-C49D3AFC6015}"/>
    <cellStyle name="Normal 2 5 2 7 4" xfId="822" xr:uid="{B3C4FDA7-5348-43E9-A8D2-0A8A7608D732}"/>
    <cellStyle name="Normal 2 5 2 7 4 2" xfId="2123" xr:uid="{2296C877-599C-4918-90E9-2147C344BAB9}"/>
    <cellStyle name="Normal 2 5 2 7 5" xfId="1132" xr:uid="{1308CF25-788B-4C8E-9E96-F6A170CCFC6E}"/>
    <cellStyle name="Normal 2 5 2 7 5 2" xfId="2433" xr:uid="{4FE6AA8B-5EE2-48AF-9E6A-CFD2B58C6D17}"/>
    <cellStyle name="Normal 2 5 2 7 6" xfId="1442" xr:uid="{3BA84D5E-42AF-4363-8668-8631A4F49D5B}"/>
    <cellStyle name="Normal 2 5 2 8" xfId="261" xr:uid="{4BEC3B3E-A5C4-48F8-A3C9-840E49509CE7}"/>
    <cellStyle name="Normal 2 5 2 8 2" xfId="537" xr:uid="{48D856AF-41B2-491C-AF0E-C472AB27B619}"/>
    <cellStyle name="Normal 2 5 2 8 2 2" xfId="1838" xr:uid="{EC9E5FD3-E8F7-4512-8E2F-D5AFBE91F338}"/>
    <cellStyle name="Normal 2 5 2 8 3" xfId="847" xr:uid="{EB2A1FF7-E4DA-40A1-90DB-018086DC20A2}"/>
    <cellStyle name="Normal 2 5 2 8 3 2" xfId="2148" xr:uid="{0BC8A139-348F-466F-8141-BC6D121DA6FA}"/>
    <cellStyle name="Normal 2 5 2 8 4" xfId="1157" xr:uid="{F0F3ACB0-783E-455A-A882-6DA436E0E4A6}"/>
    <cellStyle name="Normal 2 5 2 8 4 2" xfId="2458" xr:uid="{031A2EAE-DABC-4A33-86AB-33C99DFA2022}"/>
    <cellStyle name="Normal 2 5 2 8 5" xfId="1467" xr:uid="{70937F0B-5818-41D1-B3F8-A3BEDEB3D125}"/>
    <cellStyle name="Normal 2 5 2 9" xfId="381" xr:uid="{7752B8C9-C7E4-4B4C-A780-0E98229F25B8}"/>
    <cellStyle name="Normal 2 5 2 9 2" xfId="657" xr:uid="{3EB04E4A-35E3-4349-8005-B33700F35E18}"/>
    <cellStyle name="Normal 2 5 2 9 2 2" xfId="1958" xr:uid="{C0708E91-1B0F-4D78-90AC-369086E26B12}"/>
    <cellStyle name="Normal 2 5 2 9 3" xfId="967" xr:uid="{608DF79F-DBCC-4E29-BF0D-D1A779AF1694}"/>
    <cellStyle name="Normal 2 5 2 9 3 2" xfId="2268" xr:uid="{DB5591B6-FB9E-4EAB-B50D-77F8CBEF6ABD}"/>
    <cellStyle name="Normal 2 5 2 9 4" xfId="1277" xr:uid="{E3D3FAD4-35AF-41B6-AA77-96FC504A019B}"/>
    <cellStyle name="Normal 2 5 2 9 4 2" xfId="2578" xr:uid="{E05C08C3-1AE1-457E-8151-E07794AC648B}"/>
    <cellStyle name="Normal 2 5 2 9 5" xfId="1587" xr:uid="{46506F72-2F1B-4F2A-9688-B044D19C20D7}"/>
    <cellStyle name="Normal 2 5 3" xfId="105" xr:uid="{125EEED9-9A14-48D0-B379-5A23DEF56047}"/>
    <cellStyle name="Normal 2 5 3 10" xfId="423" xr:uid="{4A0B2F30-6DF4-4540-A822-611D9E94387A}"/>
    <cellStyle name="Normal 2 5 3 10 2" xfId="1724" xr:uid="{2F83D0E0-64D9-4B35-80A3-94DE05CCB48E}"/>
    <cellStyle name="Normal 2 5 3 11" xfId="692" xr:uid="{085B8D4D-0F3F-4F29-80A0-E7434B7312F9}"/>
    <cellStyle name="Normal 2 5 3 11 2" xfId="1993" xr:uid="{0BD27A88-373A-420B-87C8-736E35E20882}"/>
    <cellStyle name="Normal 2 5 3 12" xfId="1002" xr:uid="{6D43C6E3-FFF2-4657-AE6E-4FB734C3C0C9}"/>
    <cellStyle name="Normal 2 5 3 12 2" xfId="2303" xr:uid="{F5327690-F9A3-4DCF-B14D-9E47D8157202}"/>
    <cellStyle name="Normal 2 5 3 13" xfId="1312" xr:uid="{7EDCAA85-5943-4192-BD9A-5821C9EBAA51}"/>
    <cellStyle name="Normal 2 5 3 2" xfId="130" xr:uid="{1689805D-3D16-425F-8E81-AC5EC3DA0DD2}"/>
    <cellStyle name="Normal 2 5 3 2 2" xfId="281" xr:uid="{603C1152-51EF-463C-8E49-0B9590F4BADC}"/>
    <cellStyle name="Normal 2 5 3 2 2 2" xfId="557" xr:uid="{8BC37F50-0113-4ECB-93B5-A994EBA79470}"/>
    <cellStyle name="Normal 2 5 3 2 2 2 2" xfId="1858" xr:uid="{4CDB9388-A083-485C-A78E-34C813A5F93E}"/>
    <cellStyle name="Normal 2 5 3 2 2 3" xfId="867" xr:uid="{A0699194-54CF-47A5-8FC8-D3ACF4E16B50}"/>
    <cellStyle name="Normal 2 5 3 2 2 3 2" xfId="2168" xr:uid="{05C61780-1544-445B-9EE0-9ADE1AB0ADE7}"/>
    <cellStyle name="Normal 2 5 3 2 2 4" xfId="1177" xr:uid="{FAF3C0D1-8876-48E3-AB4D-BAA0D5BE6959}"/>
    <cellStyle name="Normal 2 5 3 2 2 4 2" xfId="2478" xr:uid="{AD32C5EE-5672-4375-8534-6D4A7C3B823B}"/>
    <cellStyle name="Normal 2 5 3 2 2 5" xfId="1487" xr:uid="{ED216BEC-9B71-48FB-BD1C-EA0F9558FFDC}"/>
    <cellStyle name="Normal 2 5 3 2 3" xfId="401" xr:uid="{A708956A-0BBA-4CE5-967D-9790EA67E5AA}"/>
    <cellStyle name="Normal 2 5 3 2 3 2" xfId="677" xr:uid="{E2E70660-56CC-4F45-BF9A-50BD11C6DB94}"/>
    <cellStyle name="Normal 2 5 3 2 3 2 2" xfId="1978" xr:uid="{5B15D2CD-815A-4C77-B9A5-B9B6E57E7B61}"/>
    <cellStyle name="Normal 2 5 3 2 3 3" xfId="987" xr:uid="{4A90C2DE-C833-4970-A106-1D8194ACA228}"/>
    <cellStyle name="Normal 2 5 3 2 3 3 2" xfId="2288" xr:uid="{2707B939-9D62-4339-A874-4EB8EFDB96D9}"/>
    <cellStyle name="Normal 2 5 3 2 3 4" xfId="1297" xr:uid="{B0AF749E-A92C-4DE4-BAAC-97CA06D4CCD1}"/>
    <cellStyle name="Normal 2 5 3 2 3 4 2" xfId="2598" xr:uid="{86A3037A-00F3-451D-B7F6-0F63EBA6939A}"/>
    <cellStyle name="Normal 2 5 3 2 3 5" xfId="1607" xr:uid="{C9D55986-74F1-4E89-9641-19F47B605FC1}"/>
    <cellStyle name="Normal 2 5 3 2 4" xfId="165" xr:uid="{468204F8-FFE0-4356-A384-34C11E269DD4}"/>
    <cellStyle name="Normal 2 5 3 2 4 2" xfId="752" xr:uid="{7C26B34A-EE13-4C2D-BCC5-96FC78F00D15}"/>
    <cellStyle name="Normal 2 5 3 2 4 2 2" xfId="2053" xr:uid="{4D650EAA-1A3F-4203-BE84-3AB6B406C042}"/>
    <cellStyle name="Normal 2 5 3 2 4 3" xfId="1062" xr:uid="{4907DD17-101C-478B-B79D-1B20C272E7DC}"/>
    <cellStyle name="Normal 2 5 3 2 4 3 2" xfId="2363" xr:uid="{A25853C3-F064-42A9-BB77-7CF9241800BC}"/>
    <cellStyle name="Normal 2 5 3 2 4 4" xfId="1372" xr:uid="{418E55BF-0AF0-4363-BE66-4EC70EDD7E36}"/>
    <cellStyle name="Normal 2 5 3 2 5" xfId="448" xr:uid="{1F17C843-5FAE-4674-8B28-E1CD190C0A86}"/>
    <cellStyle name="Normal 2 5 3 2 5 2" xfId="1749" xr:uid="{9BD6F1B2-4B7C-43A3-A8BB-BF67329761E0}"/>
    <cellStyle name="Normal 2 5 3 2 6" xfId="717" xr:uid="{89ADF4A9-82B2-4C36-B594-135A4D8258C1}"/>
    <cellStyle name="Normal 2 5 3 2 6 2" xfId="2018" xr:uid="{2010EB36-6CD2-4A28-A9DB-6D1471AF6B05}"/>
    <cellStyle name="Normal 2 5 3 2 7" xfId="1027" xr:uid="{E3B939A0-50E9-44C1-8C26-154CD7E8F2EB}"/>
    <cellStyle name="Normal 2 5 3 2 7 2" xfId="2328" xr:uid="{5076D743-4A7F-4787-A14D-C1B7CFB7C80A}"/>
    <cellStyle name="Normal 2 5 3 2 8" xfId="1337" xr:uid="{2E1701C4-2DD1-4BEC-BABD-53AC8F980B38}"/>
    <cellStyle name="Normal 2 5 3 3" xfId="180" xr:uid="{2533EDA8-AD43-4726-9B81-35AAA9E749F6}"/>
    <cellStyle name="Normal 2 5 3 3 2" xfId="296" xr:uid="{BDEB6370-E071-4A1C-A076-7B0A82A7540E}"/>
    <cellStyle name="Normal 2 5 3 3 2 2" xfId="572" xr:uid="{0EE672A5-5E53-413F-AF14-3E2B4CB603A0}"/>
    <cellStyle name="Normal 2 5 3 3 2 2 2" xfId="1873" xr:uid="{CC0E1827-F7F5-4277-9C4D-D47CDC5978A0}"/>
    <cellStyle name="Normal 2 5 3 3 2 3" xfId="882" xr:uid="{D817F20D-028A-4307-9961-7B75CDAB04A6}"/>
    <cellStyle name="Normal 2 5 3 3 2 3 2" xfId="2183" xr:uid="{D7953B45-CE1C-4865-AD80-6406E9D509B9}"/>
    <cellStyle name="Normal 2 5 3 3 2 4" xfId="1192" xr:uid="{4BD3937D-A7DB-4860-BB24-06D12BBE6799}"/>
    <cellStyle name="Normal 2 5 3 3 2 4 2" xfId="2493" xr:uid="{3D8C2F71-7E72-44EF-A433-EB39AA6E57C3}"/>
    <cellStyle name="Normal 2 5 3 3 2 5" xfId="1502" xr:uid="{38AE7EBC-392B-4672-AFAA-6B75DF7CAF27}"/>
    <cellStyle name="Normal 2 5 3 3 3" xfId="458" xr:uid="{0FF83ED9-362E-4E9F-8B7C-080F054F8A2E}"/>
    <cellStyle name="Normal 2 5 3 3 3 2" xfId="1759" xr:uid="{19D149E7-CBC7-4228-A529-7F17004A2178}"/>
    <cellStyle name="Normal 2 5 3 3 4" xfId="767" xr:uid="{B2BE064F-D37C-4343-8335-3D0D264BDF89}"/>
    <cellStyle name="Normal 2 5 3 3 4 2" xfId="2068" xr:uid="{D4C32340-B25D-430A-84E5-09241A88F807}"/>
    <cellStyle name="Normal 2 5 3 3 5" xfId="1077" xr:uid="{ED54520D-3235-4EF4-95A0-CEEF043C3631}"/>
    <cellStyle name="Normal 2 5 3 3 5 2" xfId="2378" xr:uid="{0458BB46-726E-45F5-9D68-4ECBA0FF924C}"/>
    <cellStyle name="Normal 2 5 3 3 6" xfId="1387" xr:uid="{706E91AA-2D1F-41AB-98EA-0A0972BB4D33}"/>
    <cellStyle name="Normal 2 5 3 4" xfId="206" xr:uid="{55435C92-DEDC-4253-A899-5A7DDAF3202F}"/>
    <cellStyle name="Normal 2 5 3 4 2" xfId="321" xr:uid="{C12309C5-6700-4AC0-898E-9D96C24609B7}"/>
    <cellStyle name="Normal 2 5 3 4 2 2" xfId="597" xr:uid="{386F96A0-3B81-4B34-8489-3E58D478FFCD}"/>
    <cellStyle name="Normal 2 5 3 4 2 2 2" xfId="1898" xr:uid="{4753059E-0851-4C8B-BE27-4D4E3DBF110F}"/>
    <cellStyle name="Normal 2 5 3 4 2 3" xfId="907" xr:uid="{D9F2637E-64A8-4766-9787-76754A72C4D7}"/>
    <cellStyle name="Normal 2 5 3 4 2 3 2" xfId="2208" xr:uid="{2D45B8B2-1C37-472D-86F4-BDB5552D0D4E}"/>
    <cellStyle name="Normal 2 5 3 4 2 4" xfId="1217" xr:uid="{55DBC38A-70FD-420E-BB1E-3D3CD5268825}"/>
    <cellStyle name="Normal 2 5 3 4 2 4 2" xfId="2518" xr:uid="{84F32809-0DEB-4D34-8C3A-5D0404BC4576}"/>
    <cellStyle name="Normal 2 5 3 4 2 5" xfId="1527" xr:uid="{EC0C4998-3570-42DF-BD61-6C9BA347219C}"/>
    <cellStyle name="Normal 2 5 3 4 3" xfId="482" xr:uid="{7EDAF782-C1F4-489E-A56F-EEF1B01AE314}"/>
    <cellStyle name="Normal 2 5 3 4 3 2" xfId="1783" xr:uid="{569CBE41-1258-458A-86BA-768814CC2CBD}"/>
    <cellStyle name="Normal 2 5 3 4 4" xfId="792" xr:uid="{D969F3DA-9B67-415E-926E-44A17CDCB7F7}"/>
    <cellStyle name="Normal 2 5 3 4 4 2" xfId="2093" xr:uid="{4FC3F84E-9E15-404F-A547-21C788A0C272}"/>
    <cellStyle name="Normal 2 5 3 4 5" xfId="1102" xr:uid="{B4061A26-B6A6-40E9-9581-AC01FCADED49}"/>
    <cellStyle name="Normal 2 5 3 4 5 2" xfId="2403" xr:uid="{CC607B9C-3DAA-4334-8039-A18D2FD4A2BF}"/>
    <cellStyle name="Normal 2 5 3 4 6" xfId="1412" xr:uid="{D41DDC60-541C-467A-8062-40E431D9B467}"/>
    <cellStyle name="Normal 2 5 3 5" xfId="221" xr:uid="{24AD64EB-DBEE-417A-B77B-975B7C2BB76E}"/>
    <cellStyle name="Normal 2 5 3 5 2" xfId="336" xr:uid="{14036339-62FC-4633-A049-C7DAA1EA5D06}"/>
    <cellStyle name="Normal 2 5 3 5 2 2" xfId="612" xr:uid="{30A3F132-9DB5-496F-A9BB-769C36563B1B}"/>
    <cellStyle name="Normal 2 5 3 5 2 2 2" xfId="1913" xr:uid="{99710271-68F0-43BA-B98B-8E7BF7B65101}"/>
    <cellStyle name="Normal 2 5 3 5 2 3" xfId="922" xr:uid="{7829EDE0-08F3-4ADD-96DA-0A35851014C4}"/>
    <cellStyle name="Normal 2 5 3 5 2 3 2" xfId="2223" xr:uid="{094A6FDF-AA67-42C5-B77B-CF0DF0DBE82B}"/>
    <cellStyle name="Normal 2 5 3 5 2 4" xfId="1232" xr:uid="{3EB397EB-1AE9-4182-BA39-71A0017B43E3}"/>
    <cellStyle name="Normal 2 5 3 5 2 4 2" xfId="2533" xr:uid="{0CAEFAAF-2AAC-4373-8C80-2D528A58E21F}"/>
    <cellStyle name="Normal 2 5 3 5 2 5" xfId="1542" xr:uid="{5C551FF6-1D5A-442D-9D4E-3626105E93DE}"/>
    <cellStyle name="Normal 2 5 3 5 3" xfId="497" xr:uid="{3CD3EF6F-8F9C-4208-B2CA-35CB4A0D4E2B}"/>
    <cellStyle name="Normal 2 5 3 5 3 2" xfId="1798" xr:uid="{A802468C-E5CF-4AB3-B515-558D792E4BD6}"/>
    <cellStyle name="Normal 2 5 3 5 4" xfId="807" xr:uid="{138A5F98-9A8D-4523-AA60-68AA0ABBD2D3}"/>
    <cellStyle name="Normal 2 5 3 5 4 2" xfId="2108" xr:uid="{94470EC8-CA2E-4FC3-A7CF-3ED8EBD412C1}"/>
    <cellStyle name="Normal 2 5 3 5 5" xfId="1117" xr:uid="{6F294B57-8280-47D8-B3FB-063173F18A2F}"/>
    <cellStyle name="Normal 2 5 3 5 5 2" xfId="2418" xr:uid="{E00156C4-664F-4301-8105-B0B91A1906F7}"/>
    <cellStyle name="Normal 2 5 3 5 6" xfId="1427" xr:uid="{28F5DCAB-BDBD-46F2-ACBF-AB5BDA7B020F}"/>
    <cellStyle name="Normal 2 5 3 6" xfId="246" xr:uid="{9B121567-391A-41A7-92BB-0FD6534088A7}"/>
    <cellStyle name="Normal 2 5 3 6 2" xfId="361" xr:uid="{B23F6751-20D1-443E-BEE0-5B9C3562CD49}"/>
    <cellStyle name="Normal 2 5 3 6 2 2" xfId="637" xr:uid="{A17D695B-0EFA-48D1-8565-0B8E1DE3099C}"/>
    <cellStyle name="Normal 2 5 3 6 2 2 2" xfId="1938" xr:uid="{E82CB85B-E645-4EE2-98D5-D44FED126FE4}"/>
    <cellStyle name="Normal 2 5 3 6 2 3" xfId="947" xr:uid="{D0FF7225-935F-4958-9C59-374B6DA6C514}"/>
    <cellStyle name="Normal 2 5 3 6 2 3 2" xfId="2248" xr:uid="{A3497905-D893-4E1B-B35C-69A1290800CB}"/>
    <cellStyle name="Normal 2 5 3 6 2 4" xfId="1257" xr:uid="{6BC9150D-AEC5-4EAF-B6F9-9AAAFEC77DD9}"/>
    <cellStyle name="Normal 2 5 3 6 2 4 2" xfId="2558" xr:uid="{FA7A5EF3-B6E3-46A8-B893-B1728E2E4D02}"/>
    <cellStyle name="Normal 2 5 3 6 2 5" xfId="1567" xr:uid="{618D53FF-04CA-4112-A9DA-55BA3444C577}"/>
    <cellStyle name="Normal 2 5 3 6 3" xfId="522" xr:uid="{3D03DC62-347A-4867-BA87-E8E9A3D6A1CD}"/>
    <cellStyle name="Normal 2 5 3 6 3 2" xfId="1823" xr:uid="{7E19350A-8D95-4C89-9ABA-EB4F0814B369}"/>
    <cellStyle name="Normal 2 5 3 6 4" xfId="832" xr:uid="{4CE3B778-C5D0-4953-BF42-3F7B00DD999B}"/>
    <cellStyle name="Normal 2 5 3 6 4 2" xfId="2133" xr:uid="{4D80384C-CBDA-41F3-AA05-BDC3FD5DBB4F}"/>
    <cellStyle name="Normal 2 5 3 6 5" xfId="1142" xr:uid="{6BB8BF0B-D3D2-4165-9980-574F0E5EA890}"/>
    <cellStyle name="Normal 2 5 3 6 5 2" xfId="2443" xr:uid="{9FC96148-C408-45FF-842A-DE4DED64715F}"/>
    <cellStyle name="Normal 2 5 3 6 6" xfId="1452" xr:uid="{5AE3FACE-5375-44F2-9D18-A9013F302F0F}"/>
    <cellStyle name="Normal 2 5 3 7" xfId="266" xr:uid="{CB1D1E86-5DD2-4573-9CC2-683C97F758BF}"/>
    <cellStyle name="Normal 2 5 3 7 2" xfId="542" xr:uid="{C0496CEC-582E-473D-83EB-C3A72A8A5CCE}"/>
    <cellStyle name="Normal 2 5 3 7 2 2" xfId="1843" xr:uid="{26D7BEB0-2DA5-493D-BA19-13FC418A1178}"/>
    <cellStyle name="Normal 2 5 3 7 3" xfId="852" xr:uid="{E40EFE98-3EE6-4ACE-BF5F-FF75966A92C3}"/>
    <cellStyle name="Normal 2 5 3 7 3 2" xfId="2153" xr:uid="{753F7948-C169-4846-9BA4-F63E5DB7AD22}"/>
    <cellStyle name="Normal 2 5 3 7 4" xfId="1162" xr:uid="{F94AE033-7E35-4AE8-BA8B-38F01C9762B8}"/>
    <cellStyle name="Normal 2 5 3 7 4 2" xfId="2463" xr:uid="{BC43EC84-7EAB-433C-A9D6-CEA481BC5661}"/>
    <cellStyle name="Normal 2 5 3 7 5" xfId="1472" xr:uid="{3BB97280-C064-4603-96E5-B91048BCEF05}"/>
    <cellStyle name="Normal 2 5 3 8" xfId="376" xr:uid="{97C1C7F4-FE49-487C-A7E5-833B87793599}"/>
    <cellStyle name="Normal 2 5 3 8 2" xfId="652" xr:uid="{0669A174-D635-40B6-96DF-6C746F10D460}"/>
    <cellStyle name="Normal 2 5 3 8 2 2" xfId="1953" xr:uid="{13B6C154-7254-4FF4-ACC6-D3C1A0CE857E}"/>
    <cellStyle name="Normal 2 5 3 8 3" xfId="962" xr:uid="{63634B82-0EF5-4042-B036-84124E416DC9}"/>
    <cellStyle name="Normal 2 5 3 8 3 2" xfId="2263" xr:uid="{ABBCBF9F-8387-4729-A1A9-1DEDF9C9821D}"/>
    <cellStyle name="Normal 2 5 3 8 4" xfId="1272" xr:uid="{A636081E-1181-4A53-81A3-9CD16B2206BB}"/>
    <cellStyle name="Normal 2 5 3 8 4 2" xfId="2573" xr:uid="{152D05B0-1796-4819-A801-176B1DF02A9E}"/>
    <cellStyle name="Normal 2 5 3 8 5" xfId="1582" xr:uid="{5CA0E987-BF0A-4565-874E-35B2BDC32EDC}"/>
    <cellStyle name="Normal 2 5 3 9" xfId="150" xr:uid="{282F0356-BF54-45F7-97E1-50F57FCB9935}"/>
    <cellStyle name="Normal 2 5 3 9 2" xfId="737" xr:uid="{CB0AD111-B368-4E13-A690-8932BD8A2C77}"/>
    <cellStyle name="Normal 2 5 3 9 2 2" xfId="2038" xr:uid="{47FDCFDA-A0B7-433B-A9D4-9F8DB5C7650A}"/>
    <cellStyle name="Normal 2 5 3 9 3" xfId="1047" xr:uid="{F3C25CBE-7F20-44C4-9F05-D3892D3A3DBF}"/>
    <cellStyle name="Normal 2 5 3 9 3 2" xfId="2348" xr:uid="{0E68A1BD-9D54-489A-9AC1-4C09E9A6BC2A}"/>
    <cellStyle name="Normal 2 5 3 9 4" xfId="1357" xr:uid="{A41A54CF-2CB3-4EFF-9CB0-1F450AEEE9D8}"/>
    <cellStyle name="Normal 2 5 4" xfId="125" xr:uid="{A5682B71-AF2F-4A85-8B59-4D5FF1B8AC11}"/>
    <cellStyle name="Normal 2 5 4 10" xfId="1332" xr:uid="{A6DCB145-ED47-42CF-9D18-79414EAF08B0}"/>
    <cellStyle name="Normal 2 5 4 2" xfId="201" xr:uid="{C1E8F96F-66F3-4601-AA31-1BC4B77FD65E}"/>
    <cellStyle name="Normal 2 5 4 2 2" xfId="316" xr:uid="{80E6696A-6264-4C32-BAA2-608586AAF85C}"/>
    <cellStyle name="Normal 2 5 4 2 2 2" xfId="592" xr:uid="{2158F9A0-B8E3-48F1-B6EC-5F4975E2ED37}"/>
    <cellStyle name="Normal 2 5 4 2 2 2 2" xfId="1893" xr:uid="{4B9DB14C-F9F0-4BFF-AC5B-C83736226993}"/>
    <cellStyle name="Normal 2 5 4 2 2 3" xfId="902" xr:uid="{5C3074B1-13B8-4F20-BD06-02184F3700D8}"/>
    <cellStyle name="Normal 2 5 4 2 2 3 2" xfId="2203" xr:uid="{55CF2F51-A656-4D8E-B253-ADB9DD6748DF}"/>
    <cellStyle name="Normal 2 5 4 2 2 4" xfId="1212" xr:uid="{EBB0DDBE-3FEF-4340-A8ED-4BA07D436596}"/>
    <cellStyle name="Normal 2 5 4 2 2 4 2" xfId="2513" xr:uid="{173F4345-135D-4804-8985-EDE0A5A02898}"/>
    <cellStyle name="Normal 2 5 4 2 2 5" xfId="1522" xr:uid="{31393324-8BEC-469D-B6DF-32685A86FCFC}"/>
    <cellStyle name="Normal 2 5 4 2 3" xfId="477" xr:uid="{6A34CE74-E018-446D-ACD1-C27B646784FA}"/>
    <cellStyle name="Normal 2 5 4 2 3 2" xfId="1778" xr:uid="{547EF788-3919-46EF-9C8F-0C17DEAB33DD}"/>
    <cellStyle name="Normal 2 5 4 2 4" xfId="787" xr:uid="{0AFA6B7A-2E9A-45C7-9C66-8A7F71966029}"/>
    <cellStyle name="Normal 2 5 4 2 4 2" xfId="2088" xr:uid="{C864468A-4611-4111-AD21-3DCD2C055771}"/>
    <cellStyle name="Normal 2 5 4 2 5" xfId="1097" xr:uid="{4F2F7285-DC1C-4FF0-AF7C-9AB02A778EB9}"/>
    <cellStyle name="Normal 2 5 4 2 5 2" xfId="2398" xr:uid="{53FE246F-6816-4352-97E1-20A718B6AF57}"/>
    <cellStyle name="Normal 2 5 4 2 6" xfId="1407" xr:uid="{2461C857-53F2-4087-B509-404176A59B50}"/>
    <cellStyle name="Normal 2 5 4 3" xfId="241" xr:uid="{48153E2F-B110-47C6-8272-D085BE132CCB}"/>
    <cellStyle name="Normal 2 5 4 3 2" xfId="356" xr:uid="{54504AE9-631C-4092-8699-047F130FB3E6}"/>
    <cellStyle name="Normal 2 5 4 3 2 2" xfId="632" xr:uid="{C1A9DFFE-F1BE-4863-B64B-1145C52CF468}"/>
    <cellStyle name="Normal 2 5 4 3 2 2 2" xfId="1933" xr:uid="{DC33F1DB-ACA8-4239-BCDA-11188ABC4CFE}"/>
    <cellStyle name="Normal 2 5 4 3 2 3" xfId="942" xr:uid="{E230A9C5-DF11-4CA4-AF0E-8BC8DA93ED49}"/>
    <cellStyle name="Normal 2 5 4 3 2 3 2" xfId="2243" xr:uid="{705BAAD1-9BE8-47C9-BA65-D0F998D2C345}"/>
    <cellStyle name="Normal 2 5 4 3 2 4" xfId="1252" xr:uid="{DCFBD37C-F0E2-4CB4-8E55-D268C4DE4C96}"/>
    <cellStyle name="Normal 2 5 4 3 2 4 2" xfId="2553" xr:uid="{5A26E6A7-22D3-4696-8F69-18A1918F6D47}"/>
    <cellStyle name="Normal 2 5 4 3 2 5" xfId="1562" xr:uid="{F833396C-3FBC-48F9-A43E-0FF22C04E27E}"/>
    <cellStyle name="Normal 2 5 4 3 3" xfId="517" xr:uid="{49639500-DAAC-4744-81D4-3606F22EE6B8}"/>
    <cellStyle name="Normal 2 5 4 3 3 2" xfId="1818" xr:uid="{8E927E15-0DC4-4F23-9DC5-95E0EA466D21}"/>
    <cellStyle name="Normal 2 5 4 3 4" xfId="827" xr:uid="{6D270091-1DD4-41B1-B06A-5D74DB12DAAE}"/>
    <cellStyle name="Normal 2 5 4 3 4 2" xfId="2128" xr:uid="{B4C51FD4-EEB3-461A-83A3-7B230DB8BBAE}"/>
    <cellStyle name="Normal 2 5 4 3 5" xfId="1137" xr:uid="{E7FFDD7B-2894-4990-A589-9E7ED1ECF2DA}"/>
    <cellStyle name="Normal 2 5 4 3 5 2" xfId="2438" xr:uid="{BCC70B99-5726-482D-AE77-B804FED0AF14}"/>
    <cellStyle name="Normal 2 5 4 3 6" xfId="1447" xr:uid="{447B91CE-BE06-401D-B1DE-69E208634CF0}"/>
    <cellStyle name="Normal 2 5 4 4" xfId="276" xr:uid="{AD1CBF31-42A3-4F53-B3DB-1AA2AA9E49F0}"/>
    <cellStyle name="Normal 2 5 4 4 2" xfId="552" xr:uid="{EFAA146C-3BA1-414E-A3DB-09F31BBBEFFC}"/>
    <cellStyle name="Normal 2 5 4 4 2 2" xfId="1853" xr:uid="{5C3911DE-18B7-49C7-A247-498FDFD44DDF}"/>
    <cellStyle name="Normal 2 5 4 4 3" xfId="862" xr:uid="{CEF2659A-5223-4478-A86F-60DB17EB72E4}"/>
    <cellStyle name="Normal 2 5 4 4 3 2" xfId="2163" xr:uid="{9B478E9E-95F7-488E-AE4D-7824CA019B15}"/>
    <cellStyle name="Normal 2 5 4 4 4" xfId="1172" xr:uid="{01231BF0-8C7B-4E1F-A72E-1B10E65EA13D}"/>
    <cellStyle name="Normal 2 5 4 4 4 2" xfId="2473" xr:uid="{EAE4529D-A485-4663-8FC8-75F0CDAC012B}"/>
    <cellStyle name="Normal 2 5 4 4 5" xfId="1482" xr:uid="{4BBDF7FB-8431-433C-B703-C0F93E4EDEA0}"/>
    <cellStyle name="Normal 2 5 4 5" xfId="396" xr:uid="{070D7E09-B608-481C-AE9D-80814844E88A}"/>
    <cellStyle name="Normal 2 5 4 5 2" xfId="672" xr:uid="{E958BF68-3220-4CB6-B86D-3048FB8B3D42}"/>
    <cellStyle name="Normal 2 5 4 5 2 2" xfId="1973" xr:uid="{9EF3ABDA-A785-4E9F-90CD-429505BE070F}"/>
    <cellStyle name="Normal 2 5 4 5 3" xfId="982" xr:uid="{F6875D04-3FB0-4399-B7D1-514E738DC6E6}"/>
    <cellStyle name="Normal 2 5 4 5 3 2" xfId="2283" xr:uid="{577FDAB5-0084-4E32-9CDB-66C9EA4BFF79}"/>
    <cellStyle name="Normal 2 5 4 5 4" xfId="1292" xr:uid="{F4A5A719-A65C-462C-96BC-D378C657CD7E}"/>
    <cellStyle name="Normal 2 5 4 5 4 2" xfId="2593" xr:uid="{426EFA5E-7C44-4717-8013-A97A1C126C0E}"/>
    <cellStyle name="Normal 2 5 4 5 5" xfId="1602" xr:uid="{7A81167B-C6D5-4054-B551-EC168353CC17}"/>
    <cellStyle name="Normal 2 5 4 6" xfId="160" xr:uid="{50B19C1A-919F-4E40-8F03-B344D31E50CF}"/>
    <cellStyle name="Normal 2 5 4 6 2" xfId="747" xr:uid="{25E86346-987C-4412-B4C8-DF9D61178769}"/>
    <cellStyle name="Normal 2 5 4 6 2 2" xfId="2048" xr:uid="{BC0C2D2A-4F4C-4B23-8DA1-07A3E1474AB4}"/>
    <cellStyle name="Normal 2 5 4 6 3" xfId="1057" xr:uid="{CF03C49D-416A-4B3D-880C-C49CB3F40C33}"/>
    <cellStyle name="Normal 2 5 4 6 3 2" xfId="2358" xr:uid="{8ED00CF0-666E-4507-80C6-929278253FE2}"/>
    <cellStyle name="Normal 2 5 4 6 4" xfId="1367" xr:uid="{AD0E3F56-2DAD-43D0-A933-F4D73F81B0CA}"/>
    <cellStyle name="Normal 2 5 4 7" xfId="443" xr:uid="{31019D2B-D556-4841-BEE8-A5840991E8D2}"/>
    <cellStyle name="Normal 2 5 4 7 2" xfId="1744" xr:uid="{CBAD61C2-C959-4306-8F13-4D149FCACB56}"/>
    <cellStyle name="Normal 2 5 4 8" xfId="712" xr:uid="{FB096672-C249-46B1-B083-A6E00CA2B98A}"/>
    <cellStyle name="Normal 2 5 4 8 2" xfId="2013" xr:uid="{AB0BA148-6A12-43C4-8CAE-08467124275F}"/>
    <cellStyle name="Normal 2 5 4 9" xfId="1022" xr:uid="{058C0623-1795-44BF-B17B-32FF45908593}"/>
    <cellStyle name="Normal 2 5 4 9 2" xfId="2323" xr:uid="{CDBBDB73-2730-4EE5-8EB3-F09FE249D634}"/>
    <cellStyle name="Normal 2 5 5" xfId="115" xr:uid="{21EF11E6-DAEB-4EC9-9D89-DBE3B1341046}"/>
    <cellStyle name="Normal 2 5 5 2" xfId="291" xr:uid="{A52F67B2-F948-4013-BD80-FF049D20A32A}"/>
    <cellStyle name="Normal 2 5 5 2 2" xfId="567" xr:uid="{348E91A5-B121-4FC8-8EC6-B68143D176D7}"/>
    <cellStyle name="Normal 2 5 5 2 2 2" xfId="1868" xr:uid="{858C7841-B90B-4DB0-A9D8-16F9CE3FC662}"/>
    <cellStyle name="Normal 2 5 5 2 3" xfId="877" xr:uid="{D1E4E452-E8B5-4698-9016-7AC2FF25EA4B}"/>
    <cellStyle name="Normal 2 5 5 2 3 2" xfId="2178" xr:uid="{D5098C39-4403-4AFB-915F-2BFB5D510CBE}"/>
    <cellStyle name="Normal 2 5 5 2 4" xfId="1187" xr:uid="{0296D872-4DF8-4848-996D-B58E5D109183}"/>
    <cellStyle name="Normal 2 5 5 2 4 2" xfId="2488" xr:uid="{86D8DD2F-F703-43A2-9EAB-F5F7F340FA62}"/>
    <cellStyle name="Normal 2 5 5 2 5" xfId="1497" xr:uid="{2280F120-B6EE-4181-8397-2C49CB355E12}"/>
    <cellStyle name="Normal 2 5 5 3" xfId="386" xr:uid="{1D66E320-005F-4BE7-AC32-5EA73972496F}"/>
    <cellStyle name="Normal 2 5 5 3 2" xfId="662" xr:uid="{77C648BD-B24E-4422-9391-E4599D1C7CD6}"/>
    <cellStyle name="Normal 2 5 5 3 2 2" xfId="1963" xr:uid="{44AC4C0D-A06B-43E2-A46A-8BE29A94D659}"/>
    <cellStyle name="Normal 2 5 5 3 3" xfId="972" xr:uid="{F92D1E98-8620-4F3F-9F31-C6AD38C801CA}"/>
    <cellStyle name="Normal 2 5 5 3 3 2" xfId="2273" xr:uid="{298D1C9A-3CEA-4AE8-AE9C-DF2175DF8F65}"/>
    <cellStyle name="Normal 2 5 5 3 4" xfId="1282" xr:uid="{6C57A343-5CE1-4028-A52D-78AC2D107051}"/>
    <cellStyle name="Normal 2 5 5 3 4 2" xfId="2583" xr:uid="{1C5AD847-1406-4CB4-93E0-BD54E31292A2}"/>
    <cellStyle name="Normal 2 5 5 3 5" xfId="1592" xr:uid="{9FE8C012-BB3A-462F-9F18-7155E583B6DE}"/>
    <cellStyle name="Normal 2 5 5 4" xfId="175" xr:uid="{CCE9B7AA-6948-4AEA-BF14-698667222CFE}"/>
    <cellStyle name="Normal 2 5 5 4 2" xfId="762" xr:uid="{D0E7B774-336A-4B2D-828C-98D4EE2DCF5F}"/>
    <cellStyle name="Normal 2 5 5 4 2 2" xfId="2063" xr:uid="{CE192B77-B674-440B-8F85-C8F53921E85C}"/>
    <cellStyle name="Normal 2 5 5 4 3" xfId="1072" xr:uid="{0C552BF4-368D-4AF5-87F5-3819E2E8DF6D}"/>
    <cellStyle name="Normal 2 5 5 4 3 2" xfId="2373" xr:uid="{A4F521BA-7771-4E65-8C05-1CF2F850C848}"/>
    <cellStyle name="Normal 2 5 5 4 4" xfId="1382" xr:uid="{C58B52A0-D7BC-4FDC-8CD0-DA53A8E91FB7}"/>
    <cellStyle name="Normal 2 5 5 5" xfId="433" xr:uid="{1514A001-91A5-498B-9A45-6CCB4F56AFED}"/>
    <cellStyle name="Normal 2 5 5 5 2" xfId="1734" xr:uid="{54434DCC-83A1-4A2D-8AEF-CE47EE72C515}"/>
    <cellStyle name="Normal 2 5 5 6" xfId="702" xr:uid="{62C5F70C-859A-497A-AABA-9866835D3C85}"/>
    <cellStyle name="Normal 2 5 5 6 2" xfId="2003" xr:uid="{8159F086-79C7-4AA9-AF09-DE0E8B2F3EBD}"/>
    <cellStyle name="Normal 2 5 5 7" xfId="1012" xr:uid="{EBD3833A-0FE8-4772-9E9C-6617C9D0DE08}"/>
    <cellStyle name="Normal 2 5 5 7 2" xfId="2313" xr:uid="{62276E94-AF50-418C-8B74-3D149ABE41CC}"/>
    <cellStyle name="Normal 2 5 5 8" xfId="1322" xr:uid="{52A913D0-767C-4FBC-86F5-82E50ADF102A}"/>
    <cellStyle name="Normal 2 5 6" xfId="191" xr:uid="{FAD4BDE9-7402-4F3A-8647-21D74D2107C7}"/>
    <cellStyle name="Normal 2 5 6 2" xfId="306" xr:uid="{B2A8D44E-62CB-48F1-BAA0-29F0CADD3389}"/>
    <cellStyle name="Normal 2 5 6 2 2" xfId="582" xr:uid="{FFA8C292-FD06-4FED-9EB1-BC061F476E0D}"/>
    <cellStyle name="Normal 2 5 6 2 2 2" xfId="1883" xr:uid="{77DCE791-7C39-4450-9DEF-388C971866E9}"/>
    <cellStyle name="Normal 2 5 6 2 3" xfId="892" xr:uid="{FA18803E-C311-4F18-B25B-6BF827D7B925}"/>
    <cellStyle name="Normal 2 5 6 2 3 2" xfId="2193" xr:uid="{16B5E508-0AD8-4301-885F-0E6E226F595B}"/>
    <cellStyle name="Normal 2 5 6 2 4" xfId="1202" xr:uid="{9B2A2DFA-5CEB-454C-85C2-3077EC5930B7}"/>
    <cellStyle name="Normal 2 5 6 2 4 2" xfId="2503" xr:uid="{C184EF86-0322-43B7-A15F-0E3DBBF8A38C}"/>
    <cellStyle name="Normal 2 5 6 2 5" xfId="1512" xr:uid="{8263C448-00C2-49B8-81B8-F22BA172B90E}"/>
    <cellStyle name="Normal 2 5 6 3" xfId="467" xr:uid="{CD5BC3E2-B673-4F82-B6B5-9E2D60C0CF26}"/>
    <cellStyle name="Normal 2 5 6 3 2" xfId="1768" xr:uid="{3F3B4CBD-D919-4DB0-A1C5-4D11EEAEBFA4}"/>
    <cellStyle name="Normal 2 5 6 4" xfId="777" xr:uid="{33AA839F-FC02-46A1-AEB3-BCBA033D1E16}"/>
    <cellStyle name="Normal 2 5 6 4 2" xfId="2078" xr:uid="{E36A98A4-C70B-4310-BE87-74469A72FE88}"/>
    <cellStyle name="Normal 2 5 6 5" xfId="1087" xr:uid="{27057BAF-DC90-48BF-A929-A6042E30943C}"/>
    <cellStyle name="Normal 2 5 6 5 2" xfId="2388" xr:uid="{9722380E-2FD7-466E-A51F-5609D3967A14}"/>
    <cellStyle name="Normal 2 5 6 6" xfId="1397" xr:uid="{A7C46D6D-A118-4B3F-8B43-1D3538A1E52C}"/>
    <cellStyle name="Normal 2 5 7" xfId="216" xr:uid="{256CA434-1FFF-4F1A-BBD7-393CABEDDD20}"/>
    <cellStyle name="Normal 2 5 7 2" xfId="331" xr:uid="{5634678E-F36F-4E36-8373-68F23F1F2284}"/>
    <cellStyle name="Normal 2 5 7 2 2" xfId="607" xr:uid="{42C3B024-F03A-4963-8579-EE81D5B98C80}"/>
    <cellStyle name="Normal 2 5 7 2 2 2" xfId="1908" xr:uid="{2A0A82B1-4762-4BB8-8F71-8CD992AE59F3}"/>
    <cellStyle name="Normal 2 5 7 2 3" xfId="917" xr:uid="{76A3C5A3-DCF5-4964-ACFC-2D752E69E80D}"/>
    <cellStyle name="Normal 2 5 7 2 3 2" xfId="2218" xr:uid="{952CBE50-2D51-45EC-AA56-31DBC50D3AD2}"/>
    <cellStyle name="Normal 2 5 7 2 4" xfId="1227" xr:uid="{610A0481-B97D-4118-AAC2-464D06692B01}"/>
    <cellStyle name="Normal 2 5 7 2 4 2" xfId="2528" xr:uid="{C90E1C9D-388B-4CA9-9366-DF20C56681B5}"/>
    <cellStyle name="Normal 2 5 7 2 5" xfId="1537" xr:uid="{8EFC2DD2-AE74-4492-A553-343CDF8B52A4}"/>
    <cellStyle name="Normal 2 5 7 3" xfId="492" xr:uid="{784E29AF-57BD-4A13-BCAE-AEA09FB4DD0D}"/>
    <cellStyle name="Normal 2 5 7 3 2" xfId="1793" xr:uid="{E2652A8D-E2F2-459B-BB8D-FC937D8C6AE3}"/>
    <cellStyle name="Normal 2 5 7 4" xfId="802" xr:uid="{0AC2C453-C8C7-4CBA-9095-38AA2459FC4B}"/>
    <cellStyle name="Normal 2 5 7 4 2" xfId="2103" xr:uid="{9586FDB3-4A5C-47A6-9808-960E3F6B5D44}"/>
    <cellStyle name="Normal 2 5 7 5" xfId="1112" xr:uid="{B8D8F22B-7F03-457B-B6FD-C1B9B608B0E4}"/>
    <cellStyle name="Normal 2 5 7 5 2" xfId="2413" xr:uid="{76AE8F9B-466D-457B-A0E5-588B45B16FB3}"/>
    <cellStyle name="Normal 2 5 7 6" xfId="1422" xr:uid="{D42162F3-2769-440F-A217-9811EFC23B1D}"/>
    <cellStyle name="Normal 2 5 8" xfId="231" xr:uid="{7F2892F1-FA9C-424C-80D1-BEA7711DE195}"/>
    <cellStyle name="Normal 2 5 8 2" xfId="346" xr:uid="{799214D6-0135-45ED-B122-57BFFDE2C395}"/>
    <cellStyle name="Normal 2 5 8 2 2" xfId="622" xr:uid="{DA69DC3F-E03C-46AA-9D93-E4FB281AF93A}"/>
    <cellStyle name="Normal 2 5 8 2 2 2" xfId="1923" xr:uid="{6C55DDBF-AC9F-4643-A794-65DEAA2DE023}"/>
    <cellStyle name="Normal 2 5 8 2 3" xfId="932" xr:uid="{2BCF2B06-32FA-4BBA-97C0-2872D58EC011}"/>
    <cellStyle name="Normal 2 5 8 2 3 2" xfId="2233" xr:uid="{BD3837F4-1C3D-48C6-B355-A6D44024A58E}"/>
    <cellStyle name="Normal 2 5 8 2 4" xfId="1242" xr:uid="{A9EF2006-AB8A-47FA-98E9-177EF5F10BCC}"/>
    <cellStyle name="Normal 2 5 8 2 4 2" xfId="2543" xr:uid="{DB8F0BE2-3088-401A-BF3C-86EB1935C257}"/>
    <cellStyle name="Normal 2 5 8 2 5" xfId="1552" xr:uid="{573E6A11-9C1A-4D22-BB1B-E91E5F16F02F}"/>
    <cellStyle name="Normal 2 5 8 3" xfId="507" xr:uid="{530087E2-6C23-4CD1-84EA-A64410822A00}"/>
    <cellStyle name="Normal 2 5 8 3 2" xfId="1808" xr:uid="{A32B1419-1117-4931-AAAE-A7CB0DDB15CA}"/>
    <cellStyle name="Normal 2 5 8 4" xfId="817" xr:uid="{3CFA3329-C38A-45AA-A972-5EA8BE516BC8}"/>
    <cellStyle name="Normal 2 5 8 4 2" xfId="2118" xr:uid="{0BE9DAE8-6B9F-471E-B075-B15072036AD2}"/>
    <cellStyle name="Normal 2 5 8 5" xfId="1127" xr:uid="{5923AD1E-B169-4676-9AB3-1F0267939D46}"/>
    <cellStyle name="Normal 2 5 8 5 2" xfId="2428" xr:uid="{47F65884-C28C-494F-996E-28E0997E847D}"/>
    <cellStyle name="Normal 2 5 8 6" xfId="1437" xr:uid="{FD0BBCEF-7F32-4044-8640-77133B396236}"/>
    <cellStyle name="Normal 2 5 9" xfId="256" xr:uid="{E508D858-2966-47BF-97F3-75FAF23747ED}"/>
    <cellStyle name="Normal 2 5 9 2" xfId="532" xr:uid="{E3832AAF-59CB-4084-80D3-31A4CBF8D03E}"/>
    <cellStyle name="Normal 2 5 9 2 2" xfId="1833" xr:uid="{107A9DD7-78E7-4A64-88B6-2745CA808395}"/>
    <cellStyle name="Normal 2 5 9 3" xfId="842" xr:uid="{B365948D-1E5E-4D7E-A821-68A9F6725835}"/>
    <cellStyle name="Normal 2 5 9 3 2" xfId="2143" xr:uid="{34F8DD1D-B2A0-4543-A29A-D0F36DCE5C6D}"/>
    <cellStyle name="Normal 2 5 9 4" xfId="1152" xr:uid="{EBD989C9-CE2A-4E29-BA10-030BE03B1D5C}"/>
    <cellStyle name="Normal 2 5 9 4 2" xfId="2453" xr:uid="{A0BAB6CA-FC12-417F-8087-65D58C4E8891}"/>
    <cellStyle name="Normal 2 5 9 5" xfId="1462" xr:uid="{3C25EAFA-3FFC-4AF7-B777-3704B2D05345}"/>
    <cellStyle name="Normal 2 6" xfId="58" xr:uid="{88211B7F-ECBB-4555-B31F-B3830386212D}"/>
    <cellStyle name="Normal 2 6 10" xfId="372" xr:uid="{EB795C3B-C92E-4938-B6DB-F1CD446807BB}"/>
    <cellStyle name="Normal 2 6 10 2" xfId="648" xr:uid="{20AAB0B2-2ECB-4AD9-9A4A-CAD60759BEBA}"/>
    <cellStyle name="Normal 2 6 10 2 2" xfId="1949" xr:uid="{F833FCB0-90DB-4283-B7F1-E90936EF6A0C}"/>
    <cellStyle name="Normal 2 6 10 3" xfId="958" xr:uid="{A4DE0A2A-1E46-46F1-BA53-9A3AA279540C}"/>
    <cellStyle name="Normal 2 6 10 3 2" xfId="2259" xr:uid="{6C5968B2-73B1-41E7-A1BD-CE586F7D7239}"/>
    <cellStyle name="Normal 2 6 10 4" xfId="1268" xr:uid="{DE17D84E-14DC-4BB5-9B9A-5864ECAAEBDE}"/>
    <cellStyle name="Normal 2 6 10 4 2" xfId="2569" xr:uid="{40980F59-BDBC-4D9D-80BD-2A7C92608566}"/>
    <cellStyle name="Normal 2 6 10 5" xfId="1578" xr:uid="{2A2C9E82-7C76-462C-963D-531EB8754EFD}"/>
    <cellStyle name="Normal 2 6 11" xfId="141" xr:uid="{2D8BA3E8-77A0-49B2-81DD-EB3974D8C44F}"/>
    <cellStyle name="Normal 2 6 11 2" xfId="728" xr:uid="{BB016120-F5FE-4227-9EB6-F56D658E9265}"/>
    <cellStyle name="Normal 2 6 11 2 2" xfId="2029" xr:uid="{754FDFDE-AA89-4012-928E-51E45F20765C}"/>
    <cellStyle name="Normal 2 6 11 3" xfId="1038" xr:uid="{98F75AB6-B8F1-4EC0-820A-2A35C05D609C}"/>
    <cellStyle name="Normal 2 6 11 3 2" xfId="2339" xr:uid="{07048359-0478-4F97-8ED5-B81CA0D43D3A}"/>
    <cellStyle name="Normal 2 6 11 4" xfId="1348" xr:uid="{8D59EC37-7CB1-42CC-8153-1258370EECFC}"/>
    <cellStyle name="Normal 2 6 12" xfId="419" xr:uid="{EBD7314C-3E3B-41DA-850A-0D17199BC71A}"/>
    <cellStyle name="Normal 2 6 12 2" xfId="1720" xr:uid="{9A90BE56-A981-4A45-930A-9B5750926BC1}"/>
    <cellStyle name="Normal 2 6 13" xfId="688" xr:uid="{9C34BB64-8E9F-4DB5-BA5F-FC6D421D6A9E}"/>
    <cellStyle name="Normal 2 6 13 2" xfId="1989" xr:uid="{923E81EB-D192-4D65-AB00-E906E224ECD1}"/>
    <cellStyle name="Normal 2 6 14" xfId="998" xr:uid="{1BF020CA-4B32-47F5-9B1B-869536FE060D}"/>
    <cellStyle name="Normal 2 6 14 2" xfId="2299" xr:uid="{7D7397B1-6057-485A-8130-4668360170B8}"/>
    <cellStyle name="Normal 2 6 15" xfId="1308" xr:uid="{B21316ED-C10E-4BC2-8CCE-42F4A90BF6E8}"/>
    <cellStyle name="Normal 2 6 2" xfId="111" xr:uid="{09C4C2AB-5672-4869-A2F7-4683A7E7E53A}"/>
    <cellStyle name="Normal 2 6 2 10" xfId="146" xr:uid="{00178B36-4358-4CD0-AFF3-F4E511761C30}"/>
    <cellStyle name="Normal 2 6 2 10 2" xfId="733" xr:uid="{D94965D9-1ED5-44D7-8C3D-481D81246004}"/>
    <cellStyle name="Normal 2 6 2 10 2 2" xfId="2034" xr:uid="{084C54F5-0CE7-4414-99D5-D7A516DB2524}"/>
    <cellStyle name="Normal 2 6 2 10 3" xfId="1043" xr:uid="{DB059444-CB77-4751-84B9-DA5D484090D8}"/>
    <cellStyle name="Normal 2 6 2 10 3 2" xfId="2344" xr:uid="{92064F76-0D03-40CE-999D-5F0D85BCAEDA}"/>
    <cellStyle name="Normal 2 6 2 10 4" xfId="1353" xr:uid="{624826B5-BA30-4572-B356-371C2CEB857F}"/>
    <cellStyle name="Normal 2 6 2 11" xfId="429" xr:uid="{C6A937B2-30D5-4066-881B-BB652D83B5F7}"/>
    <cellStyle name="Normal 2 6 2 11 2" xfId="1730" xr:uid="{F41A89AE-16AC-4EDD-9EFB-33EE8B531612}"/>
    <cellStyle name="Normal 2 6 2 12" xfId="698" xr:uid="{9E3C7021-0AE7-44F1-BAD5-E7CDB70FD605}"/>
    <cellStyle name="Normal 2 6 2 12 2" xfId="1999" xr:uid="{E5E41539-9680-4FB0-84B6-8EF1BE18D8CC}"/>
    <cellStyle name="Normal 2 6 2 13" xfId="1008" xr:uid="{5AE68DAC-6496-430A-A1DB-59DB16CA57CE}"/>
    <cellStyle name="Normal 2 6 2 13 2" xfId="2309" xr:uid="{6F75E3FA-A00A-4F0B-8961-28A51E8CF0BF}"/>
    <cellStyle name="Normal 2 6 2 14" xfId="1318" xr:uid="{A630E020-35F3-492A-B52E-6815FB70920A}"/>
    <cellStyle name="Normal 2 6 2 2" xfId="136" xr:uid="{67F1637F-2B18-446C-B92B-69D5178F47A2}"/>
    <cellStyle name="Normal 2 6 2 2 10" xfId="1343" xr:uid="{CB6DDACC-0C3D-433E-A60C-EC5B492FCF6A}"/>
    <cellStyle name="Normal 2 6 2 2 2" xfId="212" xr:uid="{7DE08103-AEB1-4010-ADC9-78A56C93B294}"/>
    <cellStyle name="Normal 2 6 2 2 2 2" xfId="327" xr:uid="{B19EE4E1-02B6-4F37-ABF0-19DAB48A11D0}"/>
    <cellStyle name="Normal 2 6 2 2 2 2 2" xfId="603" xr:uid="{9DF26B4B-19CE-4423-A5E8-6546C04AF4CE}"/>
    <cellStyle name="Normal 2 6 2 2 2 2 2 2" xfId="1904" xr:uid="{C0661EE5-8A7C-42DD-AF2B-26840C7F9E8A}"/>
    <cellStyle name="Normal 2 6 2 2 2 2 3" xfId="913" xr:uid="{19F70824-1C04-4D48-8D54-EB3CCF36ABD2}"/>
    <cellStyle name="Normal 2 6 2 2 2 2 3 2" xfId="2214" xr:uid="{E23535CD-1263-4DB1-A967-B8961C55D416}"/>
    <cellStyle name="Normal 2 6 2 2 2 2 4" xfId="1223" xr:uid="{EBC676E5-44AA-48A6-93F4-1EFC79C84AD9}"/>
    <cellStyle name="Normal 2 6 2 2 2 2 4 2" xfId="2524" xr:uid="{111729B7-D7C1-4135-B2AA-5DDCA7F28F81}"/>
    <cellStyle name="Normal 2 6 2 2 2 2 5" xfId="1533" xr:uid="{2B3E04A5-FB03-409B-8353-D9E4585A9B9B}"/>
    <cellStyle name="Normal 2 6 2 2 2 3" xfId="488" xr:uid="{127738AE-3273-4F4F-BE92-10A04E7CBBBE}"/>
    <cellStyle name="Normal 2 6 2 2 2 3 2" xfId="1789" xr:uid="{FAD87977-98F0-4736-8D81-649A844573FD}"/>
    <cellStyle name="Normal 2 6 2 2 2 4" xfId="798" xr:uid="{D6FFF286-6B04-442B-81E2-FC26156AB7E3}"/>
    <cellStyle name="Normal 2 6 2 2 2 4 2" xfId="2099" xr:uid="{ED2861D8-59F3-497C-AE55-BE4F44599C7E}"/>
    <cellStyle name="Normal 2 6 2 2 2 5" xfId="1108" xr:uid="{7515DD7E-BBCF-4EDC-8A3B-B82B6CAFD5AD}"/>
    <cellStyle name="Normal 2 6 2 2 2 5 2" xfId="2409" xr:uid="{D2E15330-C3AD-4701-8914-905D7FF2D6C2}"/>
    <cellStyle name="Normal 2 6 2 2 2 6" xfId="1418" xr:uid="{C30CDF85-E410-408C-BC37-A0E65B1D9961}"/>
    <cellStyle name="Normal 2 6 2 2 3" xfId="252" xr:uid="{A7609135-1591-47B5-B782-EBE0532881C2}"/>
    <cellStyle name="Normal 2 6 2 2 3 2" xfId="367" xr:uid="{67796A27-ED0F-47F1-BE25-046629C659A6}"/>
    <cellStyle name="Normal 2 6 2 2 3 2 2" xfId="643" xr:uid="{C25EBF5E-9689-4DE8-B6EE-455F8FCDF93C}"/>
    <cellStyle name="Normal 2 6 2 2 3 2 2 2" xfId="1944" xr:uid="{A245F4F1-40D5-468D-A5B6-D278E81ADD27}"/>
    <cellStyle name="Normal 2 6 2 2 3 2 3" xfId="953" xr:uid="{0FE330E7-0C17-47D9-9754-AB2454F31583}"/>
    <cellStyle name="Normal 2 6 2 2 3 2 3 2" xfId="2254" xr:uid="{5AD2C9E9-FF70-45ED-B8A1-C8954CC9A910}"/>
    <cellStyle name="Normal 2 6 2 2 3 2 4" xfId="1263" xr:uid="{EC8DDCF0-2570-4729-A859-049AA452FEDD}"/>
    <cellStyle name="Normal 2 6 2 2 3 2 4 2" xfId="2564" xr:uid="{14A77A45-8E8C-4C3C-887D-5716801878AC}"/>
    <cellStyle name="Normal 2 6 2 2 3 2 5" xfId="1573" xr:uid="{62D29DB0-486D-46A3-AE04-309BB2E69F3F}"/>
    <cellStyle name="Normal 2 6 2 2 3 3" xfId="528" xr:uid="{8F63C0A3-5A86-44D1-9EA1-5C3139B14FF7}"/>
    <cellStyle name="Normal 2 6 2 2 3 3 2" xfId="1829" xr:uid="{C4C85B17-7EA9-4181-84CB-7A596F7DC5EC}"/>
    <cellStyle name="Normal 2 6 2 2 3 4" xfId="838" xr:uid="{24AB1649-EB08-4B92-A6D2-178C11959AB5}"/>
    <cellStyle name="Normal 2 6 2 2 3 4 2" xfId="2139" xr:uid="{8BBE70E2-8A12-4545-BA69-DBA4A3EA0822}"/>
    <cellStyle name="Normal 2 6 2 2 3 5" xfId="1148" xr:uid="{836FB980-1CCD-4090-89EF-B30C9B31DA5E}"/>
    <cellStyle name="Normal 2 6 2 2 3 5 2" xfId="2449" xr:uid="{9D9FD7D8-8700-4A2A-84F5-FECA5DC76059}"/>
    <cellStyle name="Normal 2 6 2 2 3 6" xfId="1458" xr:uid="{DE5B2DDC-EB02-420B-B464-E5275E8E5518}"/>
    <cellStyle name="Normal 2 6 2 2 4" xfId="272" xr:uid="{173308A5-2720-4FDA-A653-0D60507520C4}"/>
    <cellStyle name="Normal 2 6 2 2 4 2" xfId="548" xr:uid="{5158453B-9FBE-4845-A21A-ABC2AA8E84BB}"/>
    <cellStyle name="Normal 2 6 2 2 4 2 2" xfId="1849" xr:uid="{CD220AEC-A111-4C0C-AF45-EAFD75CF4C63}"/>
    <cellStyle name="Normal 2 6 2 2 4 3" xfId="858" xr:uid="{A20AEE83-BE85-4143-9A00-75F6E393C4D0}"/>
    <cellStyle name="Normal 2 6 2 2 4 3 2" xfId="2159" xr:uid="{23E57A95-CF51-4191-9C0A-06E6B03D02F2}"/>
    <cellStyle name="Normal 2 6 2 2 4 4" xfId="1168" xr:uid="{D3221D60-C01E-4D09-BBA5-A73765CA2CED}"/>
    <cellStyle name="Normal 2 6 2 2 4 4 2" xfId="2469" xr:uid="{C3D83FFA-C479-488E-BFC2-78FDA4643F27}"/>
    <cellStyle name="Normal 2 6 2 2 4 5" xfId="1478" xr:uid="{2EFA449A-F514-4A6F-B738-664A8420FDEC}"/>
    <cellStyle name="Normal 2 6 2 2 5" xfId="407" xr:uid="{EED0F488-DB60-4162-9062-5618181C430B}"/>
    <cellStyle name="Normal 2 6 2 2 5 2" xfId="683" xr:uid="{E0AABD57-44F2-4B8C-B931-F4A8FA3B34AF}"/>
    <cellStyle name="Normal 2 6 2 2 5 2 2" xfId="1984" xr:uid="{749740BD-6814-406E-BBEA-198CF2DAD647}"/>
    <cellStyle name="Normal 2 6 2 2 5 3" xfId="993" xr:uid="{34184784-5BC6-44B0-AC48-1A9BB2183766}"/>
    <cellStyle name="Normal 2 6 2 2 5 3 2" xfId="2294" xr:uid="{A071733B-FD5D-4E6C-BC05-F98735512D83}"/>
    <cellStyle name="Normal 2 6 2 2 5 4" xfId="1303" xr:uid="{AD92711A-505B-433C-B807-9074749F5CE6}"/>
    <cellStyle name="Normal 2 6 2 2 5 4 2" xfId="2604" xr:uid="{F703C8EA-65DF-4877-9E2B-D20EE0FE03B0}"/>
    <cellStyle name="Normal 2 6 2 2 5 5" xfId="1613" xr:uid="{1E7EA947-2D51-4991-9F69-1401A032F968}"/>
    <cellStyle name="Normal 2 6 2 2 6" xfId="156" xr:uid="{1F976181-D4C5-40E6-AA20-A215F6F1539D}"/>
    <cellStyle name="Normal 2 6 2 2 6 2" xfId="743" xr:uid="{86946A77-AB41-4C8B-95FA-B2F5AA29530B}"/>
    <cellStyle name="Normal 2 6 2 2 6 2 2" xfId="2044" xr:uid="{686F4144-8F2E-4EDB-AED3-4D6BA079A996}"/>
    <cellStyle name="Normal 2 6 2 2 6 3" xfId="1053" xr:uid="{B86ABE26-DEDE-4365-8597-1DE54E02F0AB}"/>
    <cellStyle name="Normal 2 6 2 2 6 3 2" xfId="2354" xr:uid="{218163FF-4724-459C-A150-E24FC71F0EE1}"/>
    <cellStyle name="Normal 2 6 2 2 6 4" xfId="1363" xr:uid="{7C37AC59-A1AF-48A6-9A86-B8B3D88E7736}"/>
    <cellStyle name="Normal 2 6 2 2 7" xfId="454" xr:uid="{F25311CB-259E-4CC0-B613-F9C93371E40E}"/>
    <cellStyle name="Normal 2 6 2 2 7 2" xfId="1755" xr:uid="{80B5B88F-F599-46A0-88F8-E0C8604E61FE}"/>
    <cellStyle name="Normal 2 6 2 2 8" xfId="723" xr:uid="{09692C78-84BE-4D65-BDCD-D689EA99FE03}"/>
    <cellStyle name="Normal 2 6 2 2 8 2" xfId="2024" xr:uid="{7A5BAFBF-9B63-41D2-9D06-EA930B8B205D}"/>
    <cellStyle name="Normal 2 6 2 2 9" xfId="1033" xr:uid="{CCC05E4C-DE02-4E51-86F8-224E94B58C5A}"/>
    <cellStyle name="Normal 2 6 2 2 9 2" xfId="2334" xr:uid="{A1902E7E-8C3C-4F21-9C37-79AF26265758}"/>
    <cellStyle name="Normal 2 6 2 3" xfId="121" xr:uid="{B4F48BCC-2A14-4331-8492-7E3B7AC4F71C}"/>
    <cellStyle name="Normal 2 6 2 3 2" xfId="287" xr:uid="{C4871DD2-9C55-482F-B81B-B668684D9DD3}"/>
    <cellStyle name="Normal 2 6 2 3 2 2" xfId="563" xr:uid="{2FF08A88-8664-43EF-AF20-A208F4A5ABAA}"/>
    <cellStyle name="Normal 2 6 2 3 2 2 2" xfId="1864" xr:uid="{9BDFBA28-2DF6-4C03-8457-CA5292B74E1E}"/>
    <cellStyle name="Normal 2 6 2 3 2 3" xfId="873" xr:uid="{82032882-351E-47B8-9BCC-F3B87C8E867D}"/>
    <cellStyle name="Normal 2 6 2 3 2 3 2" xfId="2174" xr:uid="{53A1816E-0AF7-46C3-BD1E-04A670DFEC11}"/>
    <cellStyle name="Normal 2 6 2 3 2 4" xfId="1183" xr:uid="{D407B03C-3277-48AF-80EB-5A8D58764AEC}"/>
    <cellStyle name="Normal 2 6 2 3 2 4 2" xfId="2484" xr:uid="{9D84CDEF-73C1-44BF-8AEC-043857B542C9}"/>
    <cellStyle name="Normal 2 6 2 3 2 5" xfId="1493" xr:uid="{F22F9A42-CFD5-44C9-A551-A6C0591987FF}"/>
    <cellStyle name="Normal 2 6 2 3 3" xfId="392" xr:uid="{5B2B923A-1C9F-4AC4-BFD3-57ED02B69298}"/>
    <cellStyle name="Normal 2 6 2 3 3 2" xfId="668" xr:uid="{8DA377FE-83F8-4556-A8F4-A0FDC47645C0}"/>
    <cellStyle name="Normal 2 6 2 3 3 2 2" xfId="1969" xr:uid="{64AE60EF-F2E4-4F41-BB4E-B1814D72F0EA}"/>
    <cellStyle name="Normal 2 6 2 3 3 3" xfId="978" xr:uid="{7BD13C31-ECF2-409F-A62D-BCC6EF2014A2}"/>
    <cellStyle name="Normal 2 6 2 3 3 3 2" xfId="2279" xr:uid="{7C033849-5A8A-4398-ACD6-4D696634717E}"/>
    <cellStyle name="Normal 2 6 2 3 3 4" xfId="1288" xr:uid="{42A5FBF3-42F5-4520-8D9E-DF6BF33D59C2}"/>
    <cellStyle name="Normal 2 6 2 3 3 4 2" xfId="2589" xr:uid="{9FB3AA1C-D6AD-4A30-997E-7A86D1A2EDE3}"/>
    <cellStyle name="Normal 2 6 2 3 3 5" xfId="1598" xr:uid="{CD50DB8C-8D9E-4619-907A-59BEB925C676}"/>
    <cellStyle name="Normal 2 6 2 3 4" xfId="171" xr:uid="{99307981-D9B6-44E4-820E-A6D6F5AFBFE9}"/>
    <cellStyle name="Normal 2 6 2 3 4 2" xfId="758" xr:uid="{EAA0FC8F-9615-478A-ACEA-F1DDAB21F803}"/>
    <cellStyle name="Normal 2 6 2 3 4 2 2" xfId="2059" xr:uid="{6B00DF9B-785F-4795-A7EA-032D59C1BDEF}"/>
    <cellStyle name="Normal 2 6 2 3 4 3" xfId="1068" xr:uid="{1F8E0E19-85C6-4756-A703-7A9BA1F97452}"/>
    <cellStyle name="Normal 2 6 2 3 4 3 2" xfId="2369" xr:uid="{93271235-5D54-4EEA-A7F3-1F44A26EAB9C}"/>
    <cellStyle name="Normal 2 6 2 3 4 4" xfId="1378" xr:uid="{AE0778F6-B97A-4C30-803C-233FFACB9E12}"/>
    <cellStyle name="Normal 2 6 2 3 5" xfId="439" xr:uid="{AA3E01DD-9C4D-4BC2-A508-A56D99876982}"/>
    <cellStyle name="Normal 2 6 2 3 5 2" xfId="1740" xr:uid="{F052A3BC-4F5F-475F-B8C1-4CF4A078BA8B}"/>
    <cellStyle name="Normal 2 6 2 3 6" xfId="708" xr:uid="{884F8AB5-603B-44ED-915B-9A87717FEF7D}"/>
    <cellStyle name="Normal 2 6 2 3 6 2" xfId="2009" xr:uid="{2A1F8C50-62A6-48E2-ACC6-237AFA655BD4}"/>
    <cellStyle name="Normal 2 6 2 3 7" xfId="1018" xr:uid="{648BC829-6AD1-4936-A750-DA12F595E957}"/>
    <cellStyle name="Normal 2 6 2 3 7 2" xfId="2319" xr:uid="{875E4F72-3469-4475-9C05-512157BE3C12}"/>
    <cellStyle name="Normal 2 6 2 3 8" xfId="1328" xr:uid="{7E780193-CE78-4DF0-BC91-9B4306DA4F79}"/>
    <cellStyle name="Normal 2 6 2 4" xfId="186" xr:uid="{540F85B0-E661-4281-B9B0-80C4ED21FD5C}"/>
    <cellStyle name="Normal 2 6 2 4 2" xfId="302" xr:uid="{CF34A027-D7B7-43D3-A112-08AB39FD387F}"/>
    <cellStyle name="Normal 2 6 2 4 2 2" xfId="578" xr:uid="{AA6E171B-CC7F-4E00-99E2-98F06CD7DB5A}"/>
    <cellStyle name="Normal 2 6 2 4 2 2 2" xfId="1879" xr:uid="{15CBB0C5-4DFE-42D4-BB75-4FC60AC6D3BC}"/>
    <cellStyle name="Normal 2 6 2 4 2 3" xfId="888" xr:uid="{D7E2CE6D-9975-4B9A-9441-5DB423934417}"/>
    <cellStyle name="Normal 2 6 2 4 2 3 2" xfId="2189" xr:uid="{CDFAAD80-D4CC-4455-90AD-DA00E498ACC0}"/>
    <cellStyle name="Normal 2 6 2 4 2 4" xfId="1198" xr:uid="{052EE584-16BF-4C5A-97A7-C8F122F454D5}"/>
    <cellStyle name="Normal 2 6 2 4 2 4 2" xfId="2499" xr:uid="{9900DE90-BC11-434D-A002-9131D1A108DE}"/>
    <cellStyle name="Normal 2 6 2 4 2 5" xfId="1508" xr:uid="{C6858082-E288-4E87-8EA7-3431B69762F9}"/>
    <cellStyle name="Normal 2 6 2 4 3" xfId="464" xr:uid="{5CAEBD7A-EA17-4142-A347-E1DBCE779089}"/>
    <cellStyle name="Normal 2 6 2 4 3 2" xfId="1765" xr:uid="{CAE3E485-1636-40F6-80EC-04C13A16CC20}"/>
    <cellStyle name="Normal 2 6 2 4 4" xfId="773" xr:uid="{6DB7EA1D-1957-474F-A166-4BCB897B55A3}"/>
    <cellStyle name="Normal 2 6 2 4 4 2" xfId="2074" xr:uid="{EF7C3A4D-BA07-4956-9CAC-B29EEC6FD702}"/>
    <cellStyle name="Normal 2 6 2 4 5" xfId="1083" xr:uid="{84CA1059-C3C8-47A7-BD4E-E5154137591A}"/>
    <cellStyle name="Normal 2 6 2 4 5 2" xfId="2384" xr:uid="{B09536E4-0E20-41D2-93B1-CF2E6250D9A3}"/>
    <cellStyle name="Normal 2 6 2 4 6" xfId="1393" xr:uid="{68678B9A-E642-4002-9F35-0B197A1A36BD}"/>
    <cellStyle name="Normal 2 6 2 5" xfId="197" xr:uid="{9EF9E12C-9B51-4095-9CAD-697CAF8352F8}"/>
    <cellStyle name="Normal 2 6 2 5 2" xfId="312" xr:uid="{162DAED8-E02E-4A4F-BC76-D7FB2E303C5B}"/>
    <cellStyle name="Normal 2 6 2 5 2 2" xfId="588" xr:uid="{8A8F408D-107C-407E-8F0A-D16864AC50CE}"/>
    <cellStyle name="Normal 2 6 2 5 2 2 2" xfId="1889" xr:uid="{DACC0627-26C4-4225-BFA9-6DAB6A2CB1F8}"/>
    <cellStyle name="Normal 2 6 2 5 2 3" xfId="898" xr:uid="{0633B912-5D59-4E0D-862C-A1876A87181B}"/>
    <cellStyle name="Normal 2 6 2 5 2 3 2" xfId="2199" xr:uid="{8C5BE90F-E9D3-4F66-8EAE-985FA3D9EE9B}"/>
    <cellStyle name="Normal 2 6 2 5 2 4" xfId="1208" xr:uid="{9F094347-8285-4CE3-A11B-03347433B8B0}"/>
    <cellStyle name="Normal 2 6 2 5 2 4 2" xfId="2509" xr:uid="{555F55D9-679C-49C9-B71B-4DC7866E9A2A}"/>
    <cellStyle name="Normal 2 6 2 5 2 5" xfId="1518" xr:uid="{B5F9E71E-70EB-4AC3-A3C3-4B27B05AF464}"/>
    <cellStyle name="Normal 2 6 2 5 3" xfId="473" xr:uid="{627AE104-FF5F-4B3A-AB4B-01F48BE337BE}"/>
    <cellStyle name="Normal 2 6 2 5 3 2" xfId="1774" xr:uid="{775957C6-A6D2-4130-BE4C-E99C9D5A85D9}"/>
    <cellStyle name="Normal 2 6 2 5 4" xfId="783" xr:uid="{95A0055B-963B-4BAB-9916-37ABFFDF1B5C}"/>
    <cellStyle name="Normal 2 6 2 5 4 2" xfId="2084" xr:uid="{0D733C00-F5BB-4A89-919B-911B41BDC535}"/>
    <cellStyle name="Normal 2 6 2 5 5" xfId="1093" xr:uid="{FC6130DE-5751-427B-A351-7518D15C6AAA}"/>
    <cellStyle name="Normal 2 6 2 5 5 2" xfId="2394" xr:uid="{630F7060-8F13-4463-B6B3-A781798CB45E}"/>
    <cellStyle name="Normal 2 6 2 5 6" xfId="1403" xr:uid="{6984FCE1-641F-422A-BD4A-44B9444B2AF5}"/>
    <cellStyle name="Normal 2 6 2 6" xfId="227" xr:uid="{E7818CC4-0FD6-4F1F-B302-6B4108B5E787}"/>
    <cellStyle name="Normal 2 6 2 6 2" xfId="342" xr:uid="{BDFB520B-C6CE-491E-BAB3-2930BBF26712}"/>
    <cellStyle name="Normal 2 6 2 6 2 2" xfId="618" xr:uid="{3252DB33-E6DE-440A-AD9D-D56FD10996B3}"/>
    <cellStyle name="Normal 2 6 2 6 2 2 2" xfId="1919" xr:uid="{1C4E51EB-14C4-487F-8F5A-3517206A31D1}"/>
    <cellStyle name="Normal 2 6 2 6 2 3" xfId="928" xr:uid="{5FB673B3-7134-47E7-86D2-B8ED2CEEA561}"/>
    <cellStyle name="Normal 2 6 2 6 2 3 2" xfId="2229" xr:uid="{2B351451-65D2-4726-9701-4DE13BC662C8}"/>
    <cellStyle name="Normal 2 6 2 6 2 4" xfId="1238" xr:uid="{F5918036-FCFD-4160-8684-FF8D86476ACF}"/>
    <cellStyle name="Normal 2 6 2 6 2 4 2" xfId="2539" xr:uid="{AB294F82-EED7-4063-BDC1-A210B1BC4C59}"/>
    <cellStyle name="Normal 2 6 2 6 2 5" xfId="1548" xr:uid="{480C639C-F6C2-4B8B-8EFD-E6AB7A394225}"/>
    <cellStyle name="Normal 2 6 2 6 3" xfId="503" xr:uid="{7621844D-CC7D-489C-8F4C-424C8E1EFA97}"/>
    <cellStyle name="Normal 2 6 2 6 3 2" xfId="1804" xr:uid="{D79BD613-F7F9-456E-BEB2-8908B050BF59}"/>
    <cellStyle name="Normal 2 6 2 6 4" xfId="813" xr:uid="{B78D0394-0528-4118-A541-B288B073DD70}"/>
    <cellStyle name="Normal 2 6 2 6 4 2" xfId="2114" xr:uid="{DC02997E-8425-49E2-94C5-C14EFC1E8D2A}"/>
    <cellStyle name="Normal 2 6 2 6 5" xfId="1123" xr:uid="{B951D2D6-C69B-461F-BAF6-08354A5B8799}"/>
    <cellStyle name="Normal 2 6 2 6 5 2" xfId="2424" xr:uid="{6BB313F8-D49C-40E5-BB35-398C70B0E7E7}"/>
    <cellStyle name="Normal 2 6 2 6 6" xfId="1433" xr:uid="{7E4EE41A-6CEE-4EBA-B93A-0D72E174D2AB}"/>
    <cellStyle name="Normal 2 6 2 7" xfId="237" xr:uid="{29DB13DD-1FEF-449D-ADAD-8455CCCF4992}"/>
    <cellStyle name="Normal 2 6 2 7 2" xfId="352" xr:uid="{C0D72AA6-0D3B-4955-B903-DDCACD77DAE5}"/>
    <cellStyle name="Normal 2 6 2 7 2 2" xfId="628" xr:uid="{A3D0C30C-1E15-4B15-9973-68158F07E7FA}"/>
    <cellStyle name="Normal 2 6 2 7 2 2 2" xfId="1929" xr:uid="{327FBFB3-C958-4240-A349-E0B3A9CAFDE5}"/>
    <cellStyle name="Normal 2 6 2 7 2 3" xfId="938" xr:uid="{95CE1046-E8F5-4D70-BF62-3DE0A308F878}"/>
    <cellStyle name="Normal 2 6 2 7 2 3 2" xfId="2239" xr:uid="{BA3845A1-860A-4F22-A258-92C7C4453574}"/>
    <cellStyle name="Normal 2 6 2 7 2 4" xfId="1248" xr:uid="{2667A294-9A35-4441-8314-24E3FAD5C689}"/>
    <cellStyle name="Normal 2 6 2 7 2 4 2" xfId="2549" xr:uid="{83E3A455-E0B0-43F0-A19A-C47B5D008FC7}"/>
    <cellStyle name="Normal 2 6 2 7 2 5" xfId="1558" xr:uid="{15091D67-A163-477E-A0A8-7F5F99284C0D}"/>
    <cellStyle name="Normal 2 6 2 7 3" xfId="513" xr:uid="{6F598A51-7B01-4C32-A6F0-1082DDE8C895}"/>
    <cellStyle name="Normal 2 6 2 7 3 2" xfId="1814" xr:uid="{CDB5CE12-6603-44C0-90B7-50E0643B1FBB}"/>
    <cellStyle name="Normal 2 6 2 7 4" xfId="823" xr:uid="{CC3D6B09-0217-48F7-A63D-0F495EB50A48}"/>
    <cellStyle name="Normal 2 6 2 7 4 2" xfId="2124" xr:uid="{4892B027-CF82-4A10-B1CE-4A8496021653}"/>
    <cellStyle name="Normal 2 6 2 7 5" xfId="1133" xr:uid="{A0B10EE3-6D62-421B-95D0-392860BFA2B4}"/>
    <cellStyle name="Normal 2 6 2 7 5 2" xfId="2434" xr:uid="{5E603C16-1A5E-4F43-BAB4-9F8A77B29128}"/>
    <cellStyle name="Normal 2 6 2 7 6" xfId="1443" xr:uid="{4661B730-A399-4B91-A5C3-E4E83245E61E}"/>
    <cellStyle name="Normal 2 6 2 8" xfId="262" xr:uid="{C2C3FB1F-C298-4951-9BAB-A423F5AD6E30}"/>
    <cellStyle name="Normal 2 6 2 8 2" xfId="538" xr:uid="{5438911A-A2E1-44FC-BA12-FF313FB5FF3C}"/>
    <cellStyle name="Normal 2 6 2 8 2 2" xfId="1839" xr:uid="{FEB30381-A332-4CF0-A02D-CDE1024DB7BD}"/>
    <cellStyle name="Normal 2 6 2 8 3" xfId="848" xr:uid="{EF9B12D6-384A-450D-9161-24A143842855}"/>
    <cellStyle name="Normal 2 6 2 8 3 2" xfId="2149" xr:uid="{81FBE3EB-33F8-4772-BC13-1F73AFC52EC1}"/>
    <cellStyle name="Normal 2 6 2 8 4" xfId="1158" xr:uid="{8BEE7B8B-7188-4414-A122-C14AD87BFC56}"/>
    <cellStyle name="Normal 2 6 2 8 4 2" xfId="2459" xr:uid="{FD59D6A8-EFB9-4253-99C2-1D77084EFEF7}"/>
    <cellStyle name="Normal 2 6 2 8 5" xfId="1468" xr:uid="{E98364FB-B875-47C2-A0B7-95A3752255BD}"/>
    <cellStyle name="Normal 2 6 2 9" xfId="382" xr:uid="{94A8504C-9BBA-4FFA-9216-80116BC3CF9D}"/>
    <cellStyle name="Normal 2 6 2 9 2" xfId="658" xr:uid="{59ACE4D5-B91D-4B5B-8B8E-00EB89187416}"/>
    <cellStyle name="Normal 2 6 2 9 2 2" xfId="1959" xr:uid="{07779DBC-CD90-4B8A-BE19-A6580066BA3E}"/>
    <cellStyle name="Normal 2 6 2 9 3" xfId="968" xr:uid="{792919AA-D630-4C68-BC1A-0C45371B6EAD}"/>
    <cellStyle name="Normal 2 6 2 9 3 2" xfId="2269" xr:uid="{C2967492-9AAE-4F0B-8134-77A67AFCDCF5}"/>
    <cellStyle name="Normal 2 6 2 9 4" xfId="1278" xr:uid="{40DEC8A8-DC2D-4A66-A33F-972EC24290F0}"/>
    <cellStyle name="Normal 2 6 2 9 4 2" xfId="2579" xr:uid="{0F8C98EE-32B4-4421-8056-7EC4D9190C7C}"/>
    <cellStyle name="Normal 2 6 2 9 5" xfId="1588" xr:uid="{1D8A5209-D2D3-4CE3-9854-B33C03420C77}"/>
    <cellStyle name="Normal 2 6 3" xfId="106" xr:uid="{D34AD338-6D51-49A2-8D9B-FACC2EFB57A7}"/>
    <cellStyle name="Normal 2 6 3 10" xfId="424" xr:uid="{81913A99-D386-4643-B0CD-7D4E89C807A0}"/>
    <cellStyle name="Normal 2 6 3 10 2" xfId="1725" xr:uid="{24E394DA-F83D-4BD1-8AD0-B8089B11AD4E}"/>
    <cellStyle name="Normal 2 6 3 11" xfId="693" xr:uid="{90160706-C389-4C4D-A09F-A3C6D92F64D9}"/>
    <cellStyle name="Normal 2 6 3 11 2" xfId="1994" xr:uid="{2B4BA470-CA7D-4F4F-941D-45313AF96CE0}"/>
    <cellStyle name="Normal 2 6 3 12" xfId="1003" xr:uid="{782DAB48-983E-457C-9025-8FA4BEBB31CF}"/>
    <cellStyle name="Normal 2 6 3 12 2" xfId="2304" xr:uid="{D63146BC-766D-4723-838C-52D2B22FF99A}"/>
    <cellStyle name="Normal 2 6 3 13" xfId="1313" xr:uid="{E8F0FEF6-3E26-4745-8DF3-DF9B789EC9ED}"/>
    <cellStyle name="Normal 2 6 3 2" xfId="131" xr:uid="{C4EDF672-2D4B-4D7A-B84A-7EBB9B179EC4}"/>
    <cellStyle name="Normal 2 6 3 2 2" xfId="282" xr:uid="{A2594317-C417-41EE-B3BD-74A7E97D832B}"/>
    <cellStyle name="Normal 2 6 3 2 2 2" xfId="558" xr:uid="{6B5A3F01-3AB1-41E7-A8E4-F4C3DF61FB25}"/>
    <cellStyle name="Normal 2 6 3 2 2 2 2" xfId="1859" xr:uid="{2BF5FEAB-A3C4-4152-B819-C3114B9F3D59}"/>
    <cellStyle name="Normal 2 6 3 2 2 3" xfId="868" xr:uid="{6EBE922D-E9B9-4957-BB5B-9346086590BE}"/>
    <cellStyle name="Normal 2 6 3 2 2 3 2" xfId="2169" xr:uid="{29B04572-9218-44B5-8558-859EBF19F12F}"/>
    <cellStyle name="Normal 2 6 3 2 2 4" xfId="1178" xr:uid="{97192C4A-022D-4777-B9C5-7515B1656209}"/>
    <cellStyle name="Normal 2 6 3 2 2 4 2" xfId="2479" xr:uid="{72976A0A-CF89-4126-9AA9-BB9D3148FDF7}"/>
    <cellStyle name="Normal 2 6 3 2 2 5" xfId="1488" xr:uid="{A639C738-9E54-422F-ACAE-0F77055469B0}"/>
    <cellStyle name="Normal 2 6 3 2 3" xfId="402" xr:uid="{94525D6F-BAA8-4B2C-8D31-21E85D397483}"/>
    <cellStyle name="Normal 2 6 3 2 3 2" xfId="678" xr:uid="{5C46D9F4-3B8A-41C9-89C5-C5EF25595A80}"/>
    <cellStyle name="Normal 2 6 3 2 3 2 2" xfId="1979" xr:uid="{F9EBD962-33A3-4D23-8AC7-FA80CEE3029D}"/>
    <cellStyle name="Normal 2 6 3 2 3 3" xfId="988" xr:uid="{5F7C4D28-76DC-47EE-A824-73EE3535CF6B}"/>
    <cellStyle name="Normal 2 6 3 2 3 3 2" xfId="2289" xr:uid="{ED0D76BF-A7E7-438A-8612-1CF2F430F3AC}"/>
    <cellStyle name="Normal 2 6 3 2 3 4" xfId="1298" xr:uid="{FC0AD158-85D7-4922-818D-9DA12546514D}"/>
    <cellStyle name="Normal 2 6 3 2 3 4 2" xfId="2599" xr:uid="{8609B22D-EBCC-4B90-A3D2-04A88DA226F6}"/>
    <cellStyle name="Normal 2 6 3 2 3 5" xfId="1608" xr:uid="{CDC45EAE-3276-4A73-80D2-DF11B58E3207}"/>
    <cellStyle name="Normal 2 6 3 2 4" xfId="166" xr:uid="{3F543EF0-CA38-4D00-9B64-2F8E9F228312}"/>
    <cellStyle name="Normal 2 6 3 2 4 2" xfId="753" xr:uid="{026AE8DC-C934-457A-9611-4BB349CB1A87}"/>
    <cellStyle name="Normal 2 6 3 2 4 2 2" xfId="2054" xr:uid="{AD4E8D88-CCE0-44C4-820A-090CDEF865C7}"/>
    <cellStyle name="Normal 2 6 3 2 4 3" xfId="1063" xr:uid="{BB4DFC7F-9280-4A88-92CA-0634CE2DD637}"/>
    <cellStyle name="Normal 2 6 3 2 4 3 2" xfId="2364" xr:uid="{F454FA3F-4424-4EC9-8D43-19883B01A18B}"/>
    <cellStyle name="Normal 2 6 3 2 4 4" xfId="1373" xr:uid="{269E7845-368D-418A-8D8E-AFF3F9B2F981}"/>
    <cellStyle name="Normal 2 6 3 2 5" xfId="449" xr:uid="{FC01D7BA-F0A9-4B1F-8FCF-0810346B9F61}"/>
    <cellStyle name="Normal 2 6 3 2 5 2" xfId="1750" xr:uid="{C87AE671-C7DE-4887-A38B-A8C05B9A91EA}"/>
    <cellStyle name="Normal 2 6 3 2 6" xfId="718" xr:uid="{23663B36-A6BB-4B96-97E3-1932711B5DA8}"/>
    <cellStyle name="Normal 2 6 3 2 6 2" xfId="2019" xr:uid="{CB7C4B40-D039-42FC-B9DF-B26A2BD9B6DB}"/>
    <cellStyle name="Normal 2 6 3 2 7" xfId="1028" xr:uid="{E881A4ED-9BD3-427A-96C5-F33E98D5DA98}"/>
    <cellStyle name="Normal 2 6 3 2 7 2" xfId="2329" xr:uid="{EA2129A5-1A47-4705-B086-9E433F72C5F8}"/>
    <cellStyle name="Normal 2 6 3 2 8" xfId="1338" xr:uid="{06E2605E-6781-4C7C-AB65-8359B0F61806}"/>
    <cellStyle name="Normal 2 6 3 3" xfId="181" xr:uid="{0EF72900-3B56-4E68-B0A1-58872BF824B5}"/>
    <cellStyle name="Normal 2 6 3 3 2" xfId="297" xr:uid="{6A122CEA-D3C7-4164-824A-384F14D084C8}"/>
    <cellStyle name="Normal 2 6 3 3 2 2" xfId="573" xr:uid="{3EC79F18-9D01-46C0-AE71-EC86067BDF06}"/>
    <cellStyle name="Normal 2 6 3 3 2 2 2" xfId="1874" xr:uid="{E22FF682-91AE-4F48-B889-FB04B25D021B}"/>
    <cellStyle name="Normal 2 6 3 3 2 3" xfId="883" xr:uid="{30CD3503-E487-4C84-80E4-EC6E6E9BEB6F}"/>
    <cellStyle name="Normal 2 6 3 3 2 3 2" xfId="2184" xr:uid="{E329876C-EE7B-407D-BDCB-F753BD410923}"/>
    <cellStyle name="Normal 2 6 3 3 2 4" xfId="1193" xr:uid="{1EE6CBE0-E9BA-4592-AC73-9FA95DFC4331}"/>
    <cellStyle name="Normal 2 6 3 3 2 4 2" xfId="2494" xr:uid="{144EE985-9F44-41EE-8C35-6F8E8BD31E4D}"/>
    <cellStyle name="Normal 2 6 3 3 2 5" xfId="1503" xr:uid="{3B0932B2-B54E-48B2-BC87-087D1BC6E2C5}"/>
    <cellStyle name="Normal 2 6 3 3 3" xfId="459" xr:uid="{E3AE2425-3BAA-4B6F-B0DE-7421748EC75B}"/>
    <cellStyle name="Normal 2 6 3 3 3 2" xfId="1760" xr:uid="{8D49D374-3994-4E89-AF42-C9AB1CA3F53A}"/>
    <cellStyle name="Normal 2 6 3 3 4" xfId="768" xr:uid="{F9298026-8E0F-4497-B6CF-C0C229C37D45}"/>
    <cellStyle name="Normal 2 6 3 3 4 2" xfId="2069" xr:uid="{BD138ABE-318F-42DB-8550-6C0C638B9A97}"/>
    <cellStyle name="Normal 2 6 3 3 5" xfId="1078" xr:uid="{A115E609-EB79-41BC-8BE8-2907EE7CF9CF}"/>
    <cellStyle name="Normal 2 6 3 3 5 2" xfId="2379" xr:uid="{B04004CD-F281-415F-9CF2-0E6BCF4EE138}"/>
    <cellStyle name="Normal 2 6 3 3 6" xfId="1388" xr:uid="{45803AD9-8189-49A2-9CD0-D30504F3EF86}"/>
    <cellStyle name="Normal 2 6 3 4" xfId="207" xr:uid="{31B4C547-9670-4F5A-BF17-9B6C17026228}"/>
    <cellStyle name="Normal 2 6 3 4 2" xfId="322" xr:uid="{6640FA44-8E0A-4481-A2BD-A6AEBBD233AC}"/>
    <cellStyle name="Normal 2 6 3 4 2 2" xfId="598" xr:uid="{47C22D20-78EC-4C92-8172-01924171B0D3}"/>
    <cellStyle name="Normal 2 6 3 4 2 2 2" xfId="1899" xr:uid="{502360AC-CA90-4242-9353-089D805EC64F}"/>
    <cellStyle name="Normal 2 6 3 4 2 3" xfId="908" xr:uid="{CF9A6E07-65D1-4B3C-B4DB-44F13A7436A1}"/>
    <cellStyle name="Normal 2 6 3 4 2 3 2" xfId="2209" xr:uid="{80836BB3-E854-4F0E-9B35-38FAB1EE32C0}"/>
    <cellStyle name="Normal 2 6 3 4 2 4" xfId="1218" xr:uid="{01721E76-5979-4229-9C3A-1C5E38063E09}"/>
    <cellStyle name="Normal 2 6 3 4 2 4 2" xfId="2519" xr:uid="{6439891B-B908-4B1B-880D-AA1EDE6B74DE}"/>
    <cellStyle name="Normal 2 6 3 4 2 5" xfId="1528" xr:uid="{F9FC3FA4-1D47-489A-BCF8-943C2FEB11B5}"/>
    <cellStyle name="Normal 2 6 3 4 3" xfId="483" xr:uid="{671D3582-D6FF-4629-AF11-75597DB40907}"/>
    <cellStyle name="Normal 2 6 3 4 3 2" xfId="1784" xr:uid="{F958B4C3-C372-4794-BA0A-70EDF74C23B9}"/>
    <cellStyle name="Normal 2 6 3 4 4" xfId="793" xr:uid="{14BCA481-2E70-4C08-A0FA-22F2F356DA25}"/>
    <cellStyle name="Normal 2 6 3 4 4 2" xfId="2094" xr:uid="{A91CE431-6D3E-4550-ACBA-C93B750AC83B}"/>
    <cellStyle name="Normal 2 6 3 4 5" xfId="1103" xr:uid="{F3340F32-3A4A-4F12-8844-EE4711B0259C}"/>
    <cellStyle name="Normal 2 6 3 4 5 2" xfId="2404" xr:uid="{3D5FDC2E-BDAF-46D2-9A6A-2574C04EA386}"/>
    <cellStyle name="Normal 2 6 3 4 6" xfId="1413" xr:uid="{0382C193-66DD-4CC8-8A57-8C7A994C28B8}"/>
    <cellStyle name="Normal 2 6 3 5" xfId="222" xr:uid="{429C0CAF-FFD9-4DDA-870F-1F290D0297FB}"/>
    <cellStyle name="Normal 2 6 3 5 2" xfId="337" xr:uid="{E5E9FE72-BD18-43BF-97D6-F5E8A1C9104B}"/>
    <cellStyle name="Normal 2 6 3 5 2 2" xfId="613" xr:uid="{35A1A708-EF5A-481B-93C2-AC85A96F4DC7}"/>
    <cellStyle name="Normal 2 6 3 5 2 2 2" xfId="1914" xr:uid="{3BFC6CE5-1D07-4CE6-96BB-37A978B29A38}"/>
    <cellStyle name="Normal 2 6 3 5 2 3" xfId="923" xr:uid="{E929303E-07E5-431D-99EF-9CF9C5121F66}"/>
    <cellStyle name="Normal 2 6 3 5 2 3 2" xfId="2224" xr:uid="{840EB9D1-D640-47B7-8598-BD930293866D}"/>
    <cellStyle name="Normal 2 6 3 5 2 4" xfId="1233" xr:uid="{4A16E67F-78D8-4F7C-8BF3-A7B475AA4DE8}"/>
    <cellStyle name="Normal 2 6 3 5 2 4 2" xfId="2534" xr:uid="{0F743462-51A7-466B-B68F-DC5D1E51A9FB}"/>
    <cellStyle name="Normal 2 6 3 5 2 5" xfId="1543" xr:uid="{F27B5D01-6B3F-4327-A516-8484E278468D}"/>
    <cellStyle name="Normal 2 6 3 5 3" xfId="498" xr:uid="{7F188925-543F-431C-866A-D6C2FD4487D5}"/>
    <cellStyle name="Normal 2 6 3 5 3 2" xfId="1799" xr:uid="{85D01EFF-7D11-4A11-B525-1645C7493B23}"/>
    <cellStyle name="Normal 2 6 3 5 4" xfId="808" xr:uid="{FBA025E1-5FA3-4EBE-9276-DC5A8E258CAF}"/>
    <cellStyle name="Normal 2 6 3 5 4 2" xfId="2109" xr:uid="{942F177C-C6CD-4AFD-8154-3755BD2A936A}"/>
    <cellStyle name="Normal 2 6 3 5 5" xfId="1118" xr:uid="{2C64FD8A-87E7-40F4-91E7-0C1397654444}"/>
    <cellStyle name="Normal 2 6 3 5 5 2" xfId="2419" xr:uid="{357B0F2C-ECE9-4561-8FB7-DBD937984728}"/>
    <cellStyle name="Normal 2 6 3 5 6" xfId="1428" xr:uid="{9F2D38C8-8087-4AFA-ADB5-C0BD2CDDDC02}"/>
    <cellStyle name="Normal 2 6 3 6" xfId="247" xr:uid="{458CE581-FB12-426D-BFE5-FE087D5A95AE}"/>
    <cellStyle name="Normal 2 6 3 6 2" xfId="362" xr:uid="{3407AADB-894F-4566-A065-754C861EFC86}"/>
    <cellStyle name="Normal 2 6 3 6 2 2" xfId="638" xr:uid="{5FA3C4AB-B506-4781-AFD6-7B2CEF55B877}"/>
    <cellStyle name="Normal 2 6 3 6 2 2 2" xfId="1939" xr:uid="{A9234D85-86C6-4631-99F1-C6CB7B744ABB}"/>
    <cellStyle name="Normal 2 6 3 6 2 3" xfId="948" xr:uid="{C253A70F-93AF-4E18-B41F-6B5B77D65433}"/>
    <cellStyle name="Normal 2 6 3 6 2 3 2" xfId="2249" xr:uid="{A57206D7-3316-4F6E-8127-FCBD3E644A91}"/>
    <cellStyle name="Normal 2 6 3 6 2 4" xfId="1258" xr:uid="{3B3AD724-AF54-4259-8D66-B5311E700AF3}"/>
    <cellStyle name="Normal 2 6 3 6 2 4 2" xfId="2559" xr:uid="{9441A621-08D1-441D-9346-736D98297FFD}"/>
    <cellStyle name="Normal 2 6 3 6 2 5" xfId="1568" xr:uid="{70627556-76F3-4206-9C09-F70219695853}"/>
    <cellStyle name="Normal 2 6 3 6 3" xfId="523" xr:uid="{F105D78A-89DC-4516-BD67-8CE5858614B6}"/>
    <cellStyle name="Normal 2 6 3 6 3 2" xfId="1824" xr:uid="{CD2F4643-E4C7-4A89-8794-125C6F8EEB45}"/>
    <cellStyle name="Normal 2 6 3 6 4" xfId="833" xr:uid="{13B7CE06-D072-46CE-91D4-BC27C72B6725}"/>
    <cellStyle name="Normal 2 6 3 6 4 2" xfId="2134" xr:uid="{12397103-6D04-4E00-8692-9A2C78D77DD6}"/>
    <cellStyle name="Normal 2 6 3 6 5" xfId="1143" xr:uid="{BDF1C8CE-0FA1-4AD6-90CF-8B2AA2EDD3C0}"/>
    <cellStyle name="Normal 2 6 3 6 5 2" xfId="2444" xr:uid="{3C9EB426-F2E7-497C-BD26-9ADE5EBA185F}"/>
    <cellStyle name="Normal 2 6 3 6 6" xfId="1453" xr:uid="{3421DDAE-C60A-4496-BDFF-7A026F6CF2F0}"/>
    <cellStyle name="Normal 2 6 3 7" xfId="267" xr:uid="{26A168E1-64D2-496F-BA4D-1E07E4401ABD}"/>
    <cellStyle name="Normal 2 6 3 7 2" xfId="543" xr:uid="{A6D13370-5572-426A-AE37-5723B7D5A36D}"/>
    <cellStyle name="Normal 2 6 3 7 2 2" xfId="1844" xr:uid="{0C9CACB8-47A5-4F93-B44D-7608BC1D9443}"/>
    <cellStyle name="Normal 2 6 3 7 3" xfId="853" xr:uid="{59279887-B66B-4134-BD35-6940A41748E1}"/>
    <cellStyle name="Normal 2 6 3 7 3 2" xfId="2154" xr:uid="{1FC63F12-1105-4F94-9D3E-BA6FE6C443A5}"/>
    <cellStyle name="Normal 2 6 3 7 4" xfId="1163" xr:uid="{AC073A6F-B4C5-4BBD-B403-16F77B9F58C2}"/>
    <cellStyle name="Normal 2 6 3 7 4 2" xfId="2464" xr:uid="{8F788034-41EF-4550-9F31-10F89DEDE59E}"/>
    <cellStyle name="Normal 2 6 3 7 5" xfId="1473" xr:uid="{3BCE9AC7-519D-40A2-A81F-08D50B6635A9}"/>
    <cellStyle name="Normal 2 6 3 8" xfId="377" xr:uid="{9AD59C39-04F1-43E6-AC4B-9B446CAB8992}"/>
    <cellStyle name="Normal 2 6 3 8 2" xfId="653" xr:uid="{E85674EB-4C2E-4ED6-97F8-FE63F5285AB8}"/>
    <cellStyle name="Normal 2 6 3 8 2 2" xfId="1954" xr:uid="{3ADFCBD2-C1E5-4A97-A7F4-DCD80DFE66CB}"/>
    <cellStyle name="Normal 2 6 3 8 3" xfId="963" xr:uid="{145282DA-3315-48DF-8886-25C19ED1B480}"/>
    <cellStyle name="Normal 2 6 3 8 3 2" xfId="2264" xr:uid="{7F16F137-33F8-4D59-B5AE-5350427E83FC}"/>
    <cellStyle name="Normal 2 6 3 8 4" xfId="1273" xr:uid="{04545A2F-2E4F-4BBB-8446-642E0458B86B}"/>
    <cellStyle name="Normal 2 6 3 8 4 2" xfId="2574" xr:uid="{1BC9CBC0-DA46-429A-900B-E1463CFE71C0}"/>
    <cellStyle name="Normal 2 6 3 8 5" xfId="1583" xr:uid="{C748A7D0-1176-4E2A-9DA2-16B38F80F975}"/>
    <cellStyle name="Normal 2 6 3 9" xfId="151" xr:uid="{537B2837-612C-4374-B25E-64BB773E4ED1}"/>
    <cellStyle name="Normal 2 6 3 9 2" xfId="738" xr:uid="{5648F470-1623-45A4-BE51-9F6D9C51A273}"/>
    <cellStyle name="Normal 2 6 3 9 2 2" xfId="2039" xr:uid="{7F8D02DE-136A-4EEB-913E-685FD0880B0D}"/>
    <cellStyle name="Normal 2 6 3 9 3" xfId="1048" xr:uid="{5F928719-5C36-4444-A10F-96DD3ED92642}"/>
    <cellStyle name="Normal 2 6 3 9 3 2" xfId="2349" xr:uid="{455FB811-C313-4DBB-9FE1-48E0FEF3E566}"/>
    <cellStyle name="Normal 2 6 3 9 4" xfId="1358" xr:uid="{11F0393F-9631-4EE3-A9C7-5B322D8424A0}"/>
    <cellStyle name="Normal 2 6 4" xfId="126" xr:uid="{C205AD48-391E-47DA-AE81-059D6337F28C}"/>
    <cellStyle name="Normal 2 6 4 10" xfId="1333" xr:uid="{BAB39907-31FB-4E30-9E62-C4A9B6AFF087}"/>
    <cellStyle name="Normal 2 6 4 2" xfId="202" xr:uid="{71A6E21D-529B-4595-B958-48CACE4BAFAE}"/>
    <cellStyle name="Normal 2 6 4 2 2" xfId="317" xr:uid="{D8BDBBC0-B914-4BBA-8293-0B5C1B675B99}"/>
    <cellStyle name="Normal 2 6 4 2 2 2" xfId="593" xr:uid="{901BFFA5-04FC-44EE-B786-B13BECB8AB3A}"/>
    <cellStyle name="Normal 2 6 4 2 2 2 2" xfId="1894" xr:uid="{2962F60F-5C25-4335-925E-83AF3079C0C3}"/>
    <cellStyle name="Normal 2 6 4 2 2 3" xfId="903" xr:uid="{61EB52D7-DF37-4951-B102-96D3F096507A}"/>
    <cellStyle name="Normal 2 6 4 2 2 3 2" xfId="2204" xr:uid="{3CED9CF0-00A9-40E4-97A1-0AC646B5E0AD}"/>
    <cellStyle name="Normal 2 6 4 2 2 4" xfId="1213" xr:uid="{9876295D-ECC1-413E-8F3F-9214EAE562A8}"/>
    <cellStyle name="Normal 2 6 4 2 2 4 2" xfId="2514" xr:uid="{BF30027A-6DC0-4C4D-8A5A-61222A2A525D}"/>
    <cellStyle name="Normal 2 6 4 2 2 5" xfId="1523" xr:uid="{0EE32F74-7BE8-463D-934C-E0E8C615EBA8}"/>
    <cellStyle name="Normal 2 6 4 2 3" xfId="478" xr:uid="{DF3518A5-FA29-4F42-9821-1F3612AE5579}"/>
    <cellStyle name="Normal 2 6 4 2 3 2" xfId="1779" xr:uid="{C1202398-5732-421D-B33D-841DF6117940}"/>
    <cellStyle name="Normal 2 6 4 2 4" xfId="788" xr:uid="{5EDEB3C7-6895-4410-89D7-7F521C920BFD}"/>
    <cellStyle name="Normal 2 6 4 2 4 2" xfId="2089" xr:uid="{E4F08A92-2F86-44FC-885F-C4C927177ECF}"/>
    <cellStyle name="Normal 2 6 4 2 5" xfId="1098" xr:uid="{42CEF9E8-AEF1-4D43-9482-EAD6E9B96689}"/>
    <cellStyle name="Normal 2 6 4 2 5 2" xfId="2399" xr:uid="{DA47782B-4862-4D10-A50A-EA92A9F288C4}"/>
    <cellStyle name="Normal 2 6 4 2 6" xfId="1408" xr:uid="{3E48B480-8123-43F4-844D-D3B3597C068A}"/>
    <cellStyle name="Normal 2 6 4 3" xfId="242" xr:uid="{6AAB5A01-FBD5-49FE-91CD-5538A77D89A2}"/>
    <cellStyle name="Normal 2 6 4 3 2" xfId="357" xr:uid="{4C52FCB1-6C40-4F5A-AE5B-7F35791015B8}"/>
    <cellStyle name="Normal 2 6 4 3 2 2" xfId="633" xr:uid="{26D36DB2-02AB-48C8-B5CA-AA0A71C7E6F9}"/>
    <cellStyle name="Normal 2 6 4 3 2 2 2" xfId="1934" xr:uid="{911B5689-192C-4C4E-866F-FCD8BFCF95E1}"/>
    <cellStyle name="Normal 2 6 4 3 2 3" xfId="943" xr:uid="{09A71481-5EA7-48AB-8C4F-D07060E48892}"/>
    <cellStyle name="Normal 2 6 4 3 2 3 2" xfId="2244" xr:uid="{02CFEAFD-88A0-462C-8DEF-3A9CB613E5B2}"/>
    <cellStyle name="Normal 2 6 4 3 2 4" xfId="1253" xr:uid="{BC019BAC-54CA-470B-9B83-BD51ACC12728}"/>
    <cellStyle name="Normal 2 6 4 3 2 4 2" xfId="2554" xr:uid="{5BC4D369-5C15-4553-B962-DDBE1D4E4C31}"/>
    <cellStyle name="Normal 2 6 4 3 2 5" xfId="1563" xr:uid="{6CAFD053-AC32-4B21-9A08-7D662CA9A1A6}"/>
    <cellStyle name="Normal 2 6 4 3 3" xfId="518" xr:uid="{CD659D36-21BA-401A-8CC8-2846E7BA92D6}"/>
    <cellStyle name="Normal 2 6 4 3 3 2" xfId="1819" xr:uid="{CF26EBEE-6BB8-4DCC-B7FD-7E789F6509B2}"/>
    <cellStyle name="Normal 2 6 4 3 4" xfId="828" xr:uid="{C6C37BDE-80F8-497E-81D6-712E730E0A73}"/>
    <cellStyle name="Normal 2 6 4 3 4 2" xfId="2129" xr:uid="{FC2FA2B9-252E-46B8-B1E1-C84D7C306DEE}"/>
    <cellStyle name="Normal 2 6 4 3 5" xfId="1138" xr:uid="{FF8282FB-5457-4455-A263-7B0EAFFC3DF4}"/>
    <cellStyle name="Normal 2 6 4 3 5 2" xfId="2439" xr:uid="{A2F53A68-8375-4D2D-B595-9DCF2C525416}"/>
    <cellStyle name="Normal 2 6 4 3 6" xfId="1448" xr:uid="{A49DCA7E-D0F4-4F8F-98F0-B2747CF534BA}"/>
    <cellStyle name="Normal 2 6 4 4" xfId="277" xr:uid="{6261E2F0-48E1-4A41-B16D-72E43567DBCD}"/>
    <cellStyle name="Normal 2 6 4 4 2" xfId="553" xr:uid="{3016EC8C-16F3-4123-BCE9-8C95A9A22CDD}"/>
    <cellStyle name="Normal 2 6 4 4 2 2" xfId="1854" xr:uid="{9A1296D4-7FE9-425D-BF00-A7CB0ED0E15A}"/>
    <cellStyle name="Normal 2 6 4 4 3" xfId="863" xr:uid="{39E295E6-9B88-4C10-A64E-B221CFF5FD05}"/>
    <cellStyle name="Normal 2 6 4 4 3 2" xfId="2164" xr:uid="{048F7778-28A8-47C7-90A7-3424E6D90500}"/>
    <cellStyle name="Normal 2 6 4 4 4" xfId="1173" xr:uid="{2AEB6BC6-EDF8-4887-AB49-86A85749D736}"/>
    <cellStyle name="Normal 2 6 4 4 4 2" xfId="2474" xr:uid="{719D2049-8A85-4CB7-A992-96CBC3EF0050}"/>
    <cellStyle name="Normal 2 6 4 4 5" xfId="1483" xr:uid="{44742D5A-B638-49E2-9E0D-FD1568A5A28D}"/>
    <cellStyle name="Normal 2 6 4 5" xfId="397" xr:uid="{E3505ACE-503E-41F3-9E6A-26E22BD0C001}"/>
    <cellStyle name="Normal 2 6 4 5 2" xfId="673" xr:uid="{7C01CD82-F3D1-492B-B571-3200A02B9DAC}"/>
    <cellStyle name="Normal 2 6 4 5 2 2" xfId="1974" xr:uid="{49EF9E52-24E2-492A-BF54-112D87CE0220}"/>
    <cellStyle name="Normal 2 6 4 5 3" xfId="983" xr:uid="{AE4F99DE-498A-4822-B824-1C879BDAC457}"/>
    <cellStyle name="Normal 2 6 4 5 3 2" xfId="2284" xr:uid="{0823F532-2DC0-488E-A211-26024CE423F0}"/>
    <cellStyle name="Normal 2 6 4 5 4" xfId="1293" xr:uid="{1A529456-9494-4167-8B38-CFE32B0C064E}"/>
    <cellStyle name="Normal 2 6 4 5 4 2" xfId="2594" xr:uid="{600857FA-31A9-40CC-AC98-675BF115A143}"/>
    <cellStyle name="Normal 2 6 4 5 5" xfId="1603" xr:uid="{5E99158F-841F-4B23-95E5-BF19B87A3BCA}"/>
    <cellStyle name="Normal 2 6 4 6" xfId="161" xr:uid="{4C6FC863-F270-4D28-9DC2-38830EEAE625}"/>
    <cellStyle name="Normal 2 6 4 6 2" xfId="748" xr:uid="{0CEB0EB0-3AE4-4B74-BC43-2674EB198648}"/>
    <cellStyle name="Normal 2 6 4 6 2 2" xfId="2049" xr:uid="{2C6BFCB8-784A-47ED-90F3-4597EC29F858}"/>
    <cellStyle name="Normal 2 6 4 6 3" xfId="1058" xr:uid="{BC000403-49FA-4DAF-9E36-9B18A0926687}"/>
    <cellStyle name="Normal 2 6 4 6 3 2" xfId="2359" xr:uid="{05B9A887-48F4-4FA1-B414-4C91336666BA}"/>
    <cellStyle name="Normal 2 6 4 6 4" xfId="1368" xr:uid="{97F51362-40A3-44FB-AA02-0348141E3631}"/>
    <cellStyle name="Normal 2 6 4 7" xfId="444" xr:uid="{1530E762-AAAF-4D8F-90B3-5078E9934991}"/>
    <cellStyle name="Normal 2 6 4 7 2" xfId="1745" xr:uid="{9122F9C1-B58F-48AD-B746-A31D5B4D1EBB}"/>
    <cellStyle name="Normal 2 6 4 8" xfId="713" xr:uid="{04C50095-28C4-48D9-A97C-D8096A8AAB44}"/>
    <cellStyle name="Normal 2 6 4 8 2" xfId="2014" xr:uid="{48E1745C-299F-4282-9F3F-4C9EB26A58FF}"/>
    <cellStyle name="Normal 2 6 4 9" xfId="1023" xr:uid="{4E1512E7-FEDD-4A5B-B667-84D9CE63D83D}"/>
    <cellStyle name="Normal 2 6 4 9 2" xfId="2324" xr:uid="{54E344BB-E40D-4B83-A1E7-E094B5D05A48}"/>
    <cellStyle name="Normal 2 6 5" xfId="116" xr:uid="{BFA4F2A2-5F46-4065-AA50-6FF3F04AA001}"/>
    <cellStyle name="Normal 2 6 5 2" xfId="292" xr:uid="{6264BE51-E368-46C1-B321-2DD4C5602620}"/>
    <cellStyle name="Normal 2 6 5 2 2" xfId="568" xr:uid="{6B694465-1092-4CA9-987B-178C677EAD0E}"/>
    <cellStyle name="Normal 2 6 5 2 2 2" xfId="1869" xr:uid="{B970361B-083A-4A92-9F22-E84A76426D12}"/>
    <cellStyle name="Normal 2 6 5 2 3" xfId="878" xr:uid="{2AEE2302-A219-4022-9815-0F1EFF0B152A}"/>
    <cellStyle name="Normal 2 6 5 2 3 2" xfId="2179" xr:uid="{13B6712F-274B-42A9-9F10-3522976DC21B}"/>
    <cellStyle name="Normal 2 6 5 2 4" xfId="1188" xr:uid="{0F60ECC3-2166-49A9-BA81-99B98BA8E5A5}"/>
    <cellStyle name="Normal 2 6 5 2 4 2" xfId="2489" xr:uid="{842ED89E-4ADB-4503-BF2C-4412E4C53B4A}"/>
    <cellStyle name="Normal 2 6 5 2 5" xfId="1498" xr:uid="{ECAC50D8-35D1-4E0A-90D4-3361747E4013}"/>
    <cellStyle name="Normal 2 6 5 3" xfId="387" xr:uid="{192F9182-EB6B-4E70-8C4D-8447D1A57AB5}"/>
    <cellStyle name="Normal 2 6 5 3 2" xfId="663" xr:uid="{C72E872A-0D12-4A0D-87DA-120C2145CB91}"/>
    <cellStyle name="Normal 2 6 5 3 2 2" xfId="1964" xr:uid="{55B77EE5-009E-4195-B190-7B30C33E2C3A}"/>
    <cellStyle name="Normal 2 6 5 3 3" xfId="973" xr:uid="{F0E652A0-1AAF-4804-8893-E6BF2168DDED}"/>
    <cellStyle name="Normal 2 6 5 3 3 2" xfId="2274" xr:uid="{F6BC5056-E44B-4BE4-A25D-DEEAF99EA310}"/>
    <cellStyle name="Normal 2 6 5 3 4" xfId="1283" xr:uid="{49A4C51D-261A-4F0D-991A-3D2BA956F0B7}"/>
    <cellStyle name="Normal 2 6 5 3 4 2" xfId="2584" xr:uid="{81C52EB2-3471-4EB3-90E3-D80FC3C4D192}"/>
    <cellStyle name="Normal 2 6 5 3 5" xfId="1593" xr:uid="{519A5F92-6909-4670-9122-C5A43F151219}"/>
    <cellStyle name="Normal 2 6 5 4" xfId="176" xr:uid="{AAE5F660-BAA4-4879-A6BC-1BDDE4457F39}"/>
    <cellStyle name="Normal 2 6 5 4 2" xfId="763" xr:uid="{93C0967A-D22D-4EFD-AFD1-16C7B5AD358C}"/>
    <cellStyle name="Normal 2 6 5 4 2 2" xfId="2064" xr:uid="{4614530F-5CC6-45C6-9C9B-CE60828AB980}"/>
    <cellStyle name="Normal 2 6 5 4 3" xfId="1073" xr:uid="{E6CDEF35-0320-4813-9A7C-9919363AA5AB}"/>
    <cellStyle name="Normal 2 6 5 4 3 2" xfId="2374" xr:uid="{43C57F00-04DB-4D91-AA83-7F7A71E044E0}"/>
    <cellStyle name="Normal 2 6 5 4 4" xfId="1383" xr:uid="{870A7823-16EF-42A8-BE6E-C1BC2DEE9424}"/>
    <cellStyle name="Normal 2 6 5 5" xfId="434" xr:uid="{754D53D6-71B3-4BBE-B3E4-5E7ABE796BC4}"/>
    <cellStyle name="Normal 2 6 5 5 2" xfId="1735" xr:uid="{8E5F5CBD-E119-46AC-9FB0-1CF9F441C553}"/>
    <cellStyle name="Normal 2 6 5 6" xfId="703" xr:uid="{D8980A33-814B-430D-9465-74E187066EE2}"/>
    <cellStyle name="Normal 2 6 5 6 2" xfId="2004" xr:uid="{ACCE8C6F-5AFE-40D6-8E0D-34E4D24AFAB5}"/>
    <cellStyle name="Normal 2 6 5 7" xfId="1013" xr:uid="{0E6C5000-6301-4E25-B73C-FF1DF4520D46}"/>
    <cellStyle name="Normal 2 6 5 7 2" xfId="2314" xr:uid="{3C5933B5-0BB1-4B4F-9188-C66257C81E93}"/>
    <cellStyle name="Normal 2 6 5 8" xfId="1323" xr:uid="{266EEEE0-196B-44E4-93F7-AE4D44836208}"/>
    <cellStyle name="Normal 2 6 6" xfId="192" xr:uid="{3714C010-0345-43A7-BFCE-68B8C8919E08}"/>
    <cellStyle name="Normal 2 6 6 2" xfId="307" xr:uid="{43E30A40-B341-4473-B6DC-CCA469C93C79}"/>
    <cellStyle name="Normal 2 6 6 2 2" xfId="583" xr:uid="{68087363-6802-4FA1-A1BB-E9A86F53A6A9}"/>
    <cellStyle name="Normal 2 6 6 2 2 2" xfId="1884" xr:uid="{2AB5EC33-9879-4D36-8BFD-880CAC8F01EA}"/>
    <cellStyle name="Normal 2 6 6 2 3" xfId="893" xr:uid="{099E20BA-26BE-43E3-9B0B-851436F7ED82}"/>
    <cellStyle name="Normal 2 6 6 2 3 2" xfId="2194" xr:uid="{33D71AFB-3DD8-4C28-8A7C-C88663500D3A}"/>
    <cellStyle name="Normal 2 6 6 2 4" xfId="1203" xr:uid="{797137E9-43CC-4C6E-A38D-1D948B389BAE}"/>
    <cellStyle name="Normal 2 6 6 2 4 2" xfId="2504" xr:uid="{D7A5761D-6110-41A9-8A1F-30FCDE898441}"/>
    <cellStyle name="Normal 2 6 6 2 5" xfId="1513" xr:uid="{595B46BD-FE39-4011-BBF3-E0B4033CBEFD}"/>
    <cellStyle name="Normal 2 6 6 3" xfId="468" xr:uid="{84AD598B-6C6C-4646-9D56-4E10F033BE37}"/>
    <cellStyle name="Normal 2 6 6 3 2" xfId="1769" xr:uid="{796556E3-B454-41DD-8891-44BE5CEC22FE}"/>
    <cellStyle name="Normal 2 6 6 4" xfId="778" xr:uid="{F94F5FDF-A362-4551-A2C7-C3C73702B654}"/>
    <cellStyle name="Normal 2 6 6 4 2" xfId="2079" xr:uid="{5CFCA976-53AD-493C-BB82-2FAA6FB61AC5}"/>
    <cellStyle name="Normal 2 6 6 5" xfId="1088" xr:uid="{71F8DF63-E482-46C3-BA3A-E48DFBE83FC7}"/>
    <cellStyle name="Normal 2 6 6 5 2" xfId="2389" xr:uid="{58B4E723-F0E4-4A6F-BD9C-B8597522A8EB}"/>
    <cellStyle name="Normal 2 6 6 6" xfId="1398" xr:uid="{AE18B1FB-BA75-4776-AE80-35080726B6F4}"/>
    <cellStyle name="Normal 2 6 7" xfId="217" xr:uid="{F20FABC9-22C1-492E-8916-95CD16A49633}"/>
    <cellStyle name="Normal 2 6 7 2" xfId="332" xr:uid="{95EF6F29-3703-4027-9CF9-471071B3A94F}"/>
    <cellStyle name="Normal 2 6 7 2 2" xfId="608" xr:uid="{74105718-38BC-46E6-BBA2-FF038BD62B15}"/>
    <cellStyle name="Normal 2 6 7 2 2 2" xfId="1909" xr:uid="{DA420ADD-6510-44D9-A35C-E4A7B1EEEF22}"/>
    <cellStyle name="Normal 2 6 7 2 3" xfId="918" xr:uid="{67D0666C-9600-406A-93CB-FAA6DF252412}"/>
    <cellStyle name="Normal 2 6 7 2 3 2" xfId="2219" xr:uid="{A17ECCCA-6577-49FB-9FDF-F2904C201195}"/>
    <cellStyle name="Normal 2 6 7 2 4" xfId="1228" xr:uid="{BFF2A4F8-FCAC-4B05-81DC-CF27B0EC46E3}"/>
    <cellStyle name="Normal 2 6 7 2 4 2" xfId="2529" xr:uid="{AF388E8D-9FD5-441C-A9AE-7F1926B31FDB}"/>
    <cellStyle name="Normal 2 6 7 2 5" xfId="1538" xr:uid="{CADF456F-A59A-41CB-AFF3-D470EBE3FFBA}"/>
    <cellStyle name="Normal 2 6 7 3" xfId="493" xr:uid="{BCD7CB55-0774-4683-95BD-3F8CB5FE0EF7}"/>
    <cellStyle name="Normal 2 6 7 3 2" xfId="1794" xr:uid="{78F1DEBB-7D77-405B-819C-67B85B1DDEB4}"/>
    <cellStyle name="Normal 2 6 7 4" xfId="803" xr:uid="{947D69D3-523B-4B4B-B435-1F5D6A64CD35}"/>
    <cellStyle name="Normal 2 6 7 4 2" xfId="2104" xr:uid="{0C8030E2-CD88-4826-9907-8A4F2B27ED09}"/>
    <cellStyle name="Normal 2 6 7 5" xfId="1113" xr:uid="{24FCAEAC-2602-4F0D-8572-68EDD8E715FE}"/>
    <cellStyle name="Normal 2 6 7 5 2" xfId="2414" xr:uid="{3DD6F465-1D82-4741-B8D7-0788ED43AB24}"/>
    <cellStyle name="Normal 2 6 7 6" xfId="1423" xr:uid="{6087824C-AED2-4B60-ADD0-9FDCB2BF2CD7}"/>
    <cellStyle name="Normal 2 6 8" xfId="232" xr:uid="{8B4B1D27-E4CC-4F12-AA99-9CFC37365EAA}"/>
    <cellStyle name="Normal 2 6 8 2" xfId="347" xr:uid="{DFDCC3A4-0BC6-4AA4-9F7E-1C30AC4EB851}"/>
    <cellStyle name="Normal 2 6 8 2 2" xfId="623" xr:uid="{16439196-57D6-4CA9-885F-565CD9A38BD9}"/>
    <cellStyle name="Normal 2 6 8 2 2 2" xfId="1924" xr:uid="{A3904D51-520C-4CC0-A858-F705793E044A}"/>
    <cellStyle name="Normal 2 6 8 2 3" xfId="933" xr:uid="{437DD84C-2748-4FA4-82E7-D67CC7DAC677}"/>
    <cellStyle name="Normal 2 6 8 2 3 2" xfId="2234" xr:uid="{75A68365-FD18-45B9-9CB0-3ADE7A88BCFE}"/>
    <cellStyle name="Normal 2 6 8 2 4" xfId="1243" xr:uid="{65408AF7-F102-498F-B03D-71FE35ECF419}"/>
    <cellStyle name="Normal 2 6 8 2 4 2" xfId="2544" xr:uid="{48A89DC2-422C-4EF2-AFE6-121F2D458B84}"/>
    <cellStyle name="Normal 2 6 8 2 5" xfId="1553" xr:uid="{89F28129-0CE3-4AB0-8433-A588AE170A93}"/>
    <cellStyle name="Normal 2 6 8 3" xfId="508" xr:uid="{05883439-B5FD-4610-A117-23F16FBFC78E}"/>
    <cellStyle name="Normal 2 6 8 3 2" xfId="1809" xr:uid="{33F65F6A-1E45-4C05-A172-C7EAE698A15B}"/>
    <cellStyle name="Normal 2 6 8 4" xfId="818" xr:uid="{0D3B5F81-3006-415B-AC09-829BAA45DE1E}"/>
    <cellStyle name="Normal 2 6 8 4 2" xfId="2119" xr:uid="{4AEBF3B6-B769-4629-A828-A7348C6EEE13}"/>
    <cellStyle name="Normal 2 6 8 5" xfId="1128" xr:uid="{21BD6607-C289-4283-8A4A-0835F01FF98D}"/>
    <cellStyle name="Normal 2 6 8 5 2" xfId="2429" xr:uid="{7817FEA6-8997-4B66-B1D3-931B7896D358}"/>
    <cellStyle name="Normal 2 6 8 6" xfId="1438" xr:uid="{CBA13FB0-C753-4BD3-9A15-FDCCCEB4F476}"/>
    <cellStyle name="Normal 2 6 9" xfId="257" xr:uid="{C6C056E3-2484-459D-B103-29C43EEBBB12}"/>
    <cellStyle name="Normal 2 6 9 2" xfId="533" xr:uid="{AAF32295-1E8F-4BD5-B19F-C4832A918289}"/>
    <cellStyle name="Normal 2 6 9 2 2" xfId="1834" xr:uid="{69FCF078-7236-4AA1-A708-DA45B90161B8}"/>
    <cellStyle name="Normal 2 6 9 3" xfId="843" xr:uid="{8D02A486-EAD8-4B82-9296-3684769831AB}"/>
    <cellStyle name="Normal 2 6 9 3 2" xfId="2144" xr:uid="{D21D65C7-29F2-4FBF-A8F4-0B6369770998}"/>
    <cellStyle name="Normal 2 6 9 4" xfId="1153" xr:uid="{F943A57C-44AB-4184-9EEB-4D1E54B51849}"/>
    <cellStyle name="Normal 2 6 9 4 2" xfId="2454" xr:uid="{4AA6306D-F4BF-450F-B164-32986BE82716}"/>
    <cellStyle name="Normal 2 6 9 5" xfId="1463" xr:uid="{FB952508-288F-47BC-8175-30413CA498FF}"/>
    <cellStyle name="Normal 2 7" xfId="107" xr:uid="{3022B3CD-E22B-45D6-A887-49C2E7514285}"/>
    <cellStyle name="Normal 2 7 10" xfId="142" xr:uid="{46D41E6D-4A20-432A-AB66-11CCE09C7113}"/>
    <cellStyle name="Normal 2 7 10 2" xfId="729" xr:uid="{62FD1461-915F-4D95-97DE-019E93565234}"/>
    <cellStyle name="Normal 2 7 10 2 2" xfId="2030" xr:uid="{678E9649-35A2-4BEE-9E72-DE0412747C0C}"/>
    <cellStyle name="Normal 2 7 10 3" xfId="1039" xr:uid="{E3782A02-7642-4A5A-9878-7EB7BC5BD9EB}"/>
    <cellStyle name="Normal 2 7 10 3 2" xfId="2340" xr:uid="{B178DE1E-7BC7-462B-A6F0-ADF851526D4D}"/>
    <cellStyle name="Normal 2 7 10 4" xfId="1349" xr:uid="{694A4A9C-FD11-4A54-8918-A7A072CCC9AC}"/>
    <cellStyle name="Normal 2 7 11" xfId="425" xr:uid="{E50E2C05-24C6-4A86-85A1-AB7559760A51}"/>
    <cellStyle name="Normal 2 7 11 2" xfId="1726" xr:uid="{C7F05295-AE77-4061-9661-0C77496F4DB5}"/>
    <cellStyle name="Normal 2 7 12" xfId="694" xr:uid="{44E895DE-F3BD-4086-8662-20AFC18D7375}"/>
    <cellStyle name="Normal 2 7 12 2" xfId="1995" xr:uid="{02A26D8E-90A2-482D-9C2A-068E99E6519F}"/>
    <cellStyle name="Normal 2 7 13" xfId="1004" xr:uid="{432F7BF5-6FD3-4DDD-980A-ACEBA3B49476}"/>
    <cellStyle name="Normal 2 7 13 2" xfId="2305" xr:uid="{0A0E4BC9-A802-47D1-8E3C-19399FA018F0}"/>
    <cellStyle name="Normal 2 7 14" xfId="1314" xr:uid="{25A46234-8F7E-4856-9DF8-8A340C801550}"/>
    <cellStyle name="Normal 2 7 2" xfId="132" xr:uid="{89AF516E-9D3E-41B4-A61E-4940B92FA63F}"/>
    <cellStyle name="Normal 2 7 2 10" xfId="1339" xr:uid="{33681E97-A81B-40FE-BC94-B08658E93DCD}"/>
    <cellStyle name="Normal 2 7 2 2" xfId="208" xr:uid="{9CD0995A-73BA-4EB5-93ED-F9918C7FA844}"/>
    <cellStyle name="Normal 2 7 2 2 2" xfId="323" xr:uid="{5010520E-FE39-46F2-A9F8-F13D8667DBDF}"/>
    <cellStyle name="Normal 2 7 2 2 2 2" xfId="599" xr:uid="{FAA0F5FA-FE09-4894-BCAF-01F4A69973AC}"/>
    <cellStyle name="Normal 2 7 2 2 2 2 2" xfId="1900" xr:uid="{C9E5394E-57C1-45DE-9CA3-25CBEA203B83}"/>
    <cellStyle name="Normal 2 7 2 2 2 3" xfId="909" xr:uid="{9E1077AE-84B5-405E-A66E-D537319A9257}"/>
    <cellStyle name="Normal 2 7 2 2 2 3 2" xfId="2210" xr:uid="{DE1E9117-8A5E-4C99-A095-BE8A17154C84}"/>
    <cellStyle name="Normal 2 7 2 2 2 4" xfId="1219" xr:uid="{9C8CEFD3-5DBC-40F7-9F7A-64613FD819D2}"/>
    <cellStyle name="Normal 2 7 2 2 2 4 2" xfId="2520" xr:uid="{44973DA6-DD11-435B-B90B-78FE634C0A70}"/>
    <cellStyle name="Normal 2 7 2 2 2 5" xfId="1529" xr:uid="{007693FA-F9D9-4E8D-A1D2-B4172D2C06A4}"/>
    <cellStyle name="Normal 2 7 2 2 3" xfId="484" xr:uid="{BBC9FFA8-09F1-4B23-8B79-179669FD8365}"/>
    <cellStyle name="Normal 2 7 2 2 3 2" xfId="1785" xr:uid="{0394D849-F8E1-4296-BEC2-F8E09EAFB90B}"/>
    <cellStyle name="Normal 2 7 2 2 4" xfId="794" xr:uid="{CFA0B9B5-C6A4-4B97-8D16-9F6ACCC89303}"/>
    <cellStyle name="Normal 2 7 2 2 4 2" xfId="2095" xr:uid="{AF6CBDDF-4A9E-40E8-AB79-75D4618CBECA}"/>
    <cellStyle name="Normal 2 7 2 2 5" xfId="1104" xr:uid="{94C1B229-CE96-4D02-95AA-DEF3E8F0F45E}"/>
    <cellStyle name="Normal 2 7 2 2 5 2" xfId="2405" xr:uid="{9D5B3156-5CC3-47D4-A177-1B34446F53AA}"/>
    <cellStyle name="Normal 2 7 2 2 6" xfId="1414" xr:uid="{89513242-F6E8-45A3-8D01-8213413F5EC4}"/>
    <cellStyle name="Normal 2 7 2 3" xfId="248" xr:uid="{FB627496-2143-44A7-AB61-D6CF5DF122D8}"/>
    <cellStyle name="Normal 2 7 2 3 2" xfId="363" xr:uid="{7BD7EAA4-B190-48FE-AAC5-0004B0C49AC4}"/>
    <cellStyle name="Normal 2 7 2 3 2 2" xfId="639" xr:uid="{C4982B6B-B5D6-4D1F-82F7-CEDC656E612F}"/>
    <cellStyle name="Normal 2 7 2 3 2 2 2" xfId="1940" xr:uid="{C171FC16-AA3E-4770-9C28-3D59894BB202}"/>
    <cellStyle name="Normal 2 7 2 3 2 3" xfId="949" xr:uid="{939DC38B-9DAC-41F9-83BE-629140B5E6D9}"/>
    <cellStyle name="Normal 2 7 2 3 2 3 2" xfId="2250" xr:uid="{5ED40EC8-9CE4-4B45-A0C4-E7B10BE1BD06}"/>
    <cellStyle name="Normal 2 7 2 3 2 4" xfId="1259" xr:uid="{1D85D08E-40CD-4C50-AA1F-F934DA443032}"/>
    <cellStyle name="Normal 2 7 2 3 2 4 2" xfId="2560" xr:uid="{0938F126-6BF2-4C4C-8CD2-37057221A1FE}"/>
    <cellStyle name="Normal 2 7 2 3 2 5" xfId="1569" xr:uid="{3F325CE5-F04B-4706-9E0F-DFBE0FEDC1C9}"/>
    <cellStyle name="Normal 2 7 2 3 3" xfId="524" xr:uid="{8E3B6E80-C27D-49FF-92DD-0EDE3E978996}"/>
    <cellStyle name="Normal 2 7 2 3 3 2" xfId="1825" xr:uid="{0BDE1005-3C79-4AA0-9C77-B18E9E8E2E1D}"/>
    <cellStyle name="Normal 2 7 2 3 4" xfId="834" xr:uid="{76DAFFCF-06FA-4925-875C-9D5CEBBD9EB1}"/>
    <cellStyle name="Normal 2 7 2 3 4 2" xfId="2135" xr:uid="{5749F53B-E2BF-4B18-B856-397D8779D832}"/>
    <cellStyle name="Normal 2 7 2 3 5" xfId="1144" xr:uid="{1676EFC3-859C-4F28-B374-E82C17A75D87}"/>
    <cellStyle name="Normal 2 7 2 3 5 2" xfId="2445" xr:uid="{60A0BBEE-3D79-49E2-BAD6-8EC58D24E13A}"/>
    <cellStyle name="Normal 2 7 2 3 6" xfId="1454" xr:uid="{24E78FAB-307A-4046-A959-E2D1C20EC8EB}"/>
    <cellStyle name="Normal 2 7 2 4" xfId="268" xr:uid="{AD0697F7-1457-424C-96DB-D2A78901014C}"/>
    <cellStyle name="Normal 2 7 2 4 2" xfId="544" xr:uid="{136F2D41-0CE7-4D6B-B1C3-66A27551E9B1}"/>
    <cellStyle name="Normal 2 7 2 4 2 2" xfId="1845" xr:uid="{68EA48A7-58B2-42AE-A57A-A6BAC7259590}"/>
    <cellStyle name="Normal 2 7 2 4 3" xfId="854" xr:uid="{43FD27A8-9095-419C-9C98-A7D418FEE379}"/>
    <cellStyle name="Normal 2 7 2 4 3 2" xfId="2155" xr:uid="{DA10E0EA-DA47-4BB9-B59F-BB564DA21F2A}"/>
    <cellStyle name="Normal 2 7 2 4 4" xfId="1164" xr:uid="{FF36A55B-06A5-45CA-93E0-508BBEA2AA58}"/>
    <cellStyle name="Normal 2 7 2 4 4 2" xfId="2465" xr:uid="{45B65B43-FEEB-4BB1-A518-962B4F7B1571}"/>
    <cellStyle name="Normal 2 7 2 4 5" xfId="1474" xr:uid="{E9AE4982-3C23-4820-A40D-2810DEE4C10F}"/>
    <cellStyle name="Normal 2 7 2 5" xfId="403" xr:uid="{E8127EF9-3228-46B8-B247-7FF294A0BF55}"/>
    <cellStyle name="Normal 2 7 2 5 2" xfId="679" xr:uid="{F9B808BA-811F-411D-932F-304881459D39}"/>
    <cellStyle name="Normal 2 7 2 5 2 2" xfId="1980" xr:uid="{2B1C437D-B88E-4005-A7DE-8E4D148A7094}"/>
    <cellStyle name="Normal 2 7 2 5 3" xfId="989" xr:uid="{D9257918-1339-4BA6-BB08-9F91376DEF1C}"/>
    <cellStyle name="Normal 2 7 2 5 3 2" xfId="2290" xr:uid="{A93E14A9-ED90-4F1E-838F-1489BEFE7B0A}"/>
    <cellStyle name="Normal 2 7 2 5 4" xfId="1299" xr:uid="{6CFF9E46-381F-4F22-9C20-1046A9DC1B71}"/>
    <cellStyle name="Normal 2 7 2 5 4 2" xfId="2600" xr:uid="{D0C44533-7BEE-4382-9C76-847606F167F5}"/>
    <cellStyle name="Normal 2 7 2 5 5" xfId="1609" xr:uid="{AE189B3E-8102-4388-B759-FF8173D7767C}"/>
    <cellStyle name="Normal 2 7 2 6" xfId="152" xr:uid="{4F3D9B9C-4F6B-480D-AD50-30D5EE0B87E4}"/>
    <cellStyle name="Normal 2 7 2 6 2" xfId="739" xr:uid="{B2719339-5859-4582-B40F-1DE5D56637A1}"/>
    <cellStyle name="Normal 2 7 2 6 2 2" xfId="2040" xr:uid="{6D452A01-14D9-4CA4-AFD1-9D39A1C63CF9}"/>
    <cellStyle name="Normal 2 7 2 6 3" xfId="1049" xr:uid="{869B1759-A464-41A8-8B38-9559866F81EB}"/>
    <cellStyle name="Normal 2 7 2 6 3 2" xfId="2350" xr:uid="{D32CCA86-2A23-40D4-9117-679F8A7BF902}"/>
    <cellStyle name="Normal 2 7 2 6 4" xfId="1359" xr:uid="{2564DB9E-6F90-4CE0-8BCE-1305B2CDB7F8}"/>
    <cellStyle name="Normal 2 7 2 7" xfId="450" xr:uid="{E2CF4473-9CCA-44C8-8AB5-A7D2D0CB3987}"/>
    <cellStyle name="Normal 2 7 2 7 2" xfId="1751" xr:uid="{6DA51BDB-054D-44CC-B0C1-FDDDE5AB5B51}"/>
    <cellStyle name="Normal 2 7 2 8" xfId="719" xr:uid="{BACA9B80-084A-4281-B986-5704B5D8F594}"/>
    <cellStyle name="Normal 2 7 2 8 2" xfId="2020" xr:uid="{499A4614-0FEE-4229-B421-B2B874E7B569}"/>
    <cellStyle name="Normal 2 7 2 9" xfId="1029" xr:uid="{F1D9B25B-6332-4872-8647-B94081E00F85}"/>
    <cellStyle name="Normal 2 7 2 9 2" xfId="2330" xr:uid="{4FB47E82-3100-4A71-B205-A898815A0B8E}"/>
    <cellStyle name="Normal 2 7 3" xfId="117" xr:uid="{1C3DA9B7-B25D-4910-81C8-BAF1F9D49EA5}"/>
    <cellStyle name="Normal 2 7 3 2" xfId="283" xr:uid="{B852A894-6E10-49C4-B1D9-C485FAB3BEE3}"/>
    <cellStyle name="Normal 2 7 3 2 2" xfId="559" xr:uid="{6D97A983-397D-45FD-B58C-CA688EE61833}"/>
    <cellStyle name="Normal 2 7 3 2 2 2" xfId="1860" xr:uid="{2EE4A704-F57A-413B-9948-5E2CE3BEA627}"/>
    <cellStyle name="Normal 2 7 3 2 3" xfId="869" xr:uid="{A5B2C138-9592-4CEA-A0B7-67F4E8F8C42F}"/>
    <cellStyle name="Normal 2 7 3 2 3 2" xfId="2170" xr:uid="{D5B770AE-989C-4283-AE8E-07C6B0A8BBB3}"/>
    <cellStyle name="Normal 2 7 3 2 4" xfId="1179" xr:uid="{6AD515D4-AB70-4932-9673-4FA92EA5D0AA}"/>
    <cellStyle name="Normal 2 7 3 2 4 2" xfId="2480" xr:uid="{7845F4D2-D7F6-470F-93F8-9DC73EC710D0}"/>
    <cellStyle name="Normal 2 7 3 2 5" xfId="1489" xr:uid="{80CABAC3-86B0-4DC0-AF2A-10471F4B61ED}"/>
    <cellStyle name="Normal 2 7 3 3" xfId="388" xr:uid="{6F2450CE-95C5-44F0-8D72-1E2580DFD23E}"/>
    <cellStyle name="Normal 2 7 3 3 2" xfId="664" xr:uid="{E334F446-2B6F-4F40-B1BE-688102EECDF4}"/>
    <cellStyle name="Normal 2 7 3 3 2 2" xfId="1965" xr:uid="{6328570F-6A13-48B5-88BE-76A7E00C9CCD}"/>
    <cellStyle name="Normal 2 7 3 3 3" xfId="974" xr:uid="{615E27CE-D9BE-4F0F-AB3E-68F491FF2325}"/>
    <cellStyle name="Normal 2 7 3 3 3 2" xfId="2275" xr:uid="{038CA94A-CA16-46DE-910B-58EF155C5BA0}"/>
    <cellStyle name="Normal 2 7 3 3 4" xfId="1284" xr:uid="{C12D69B0-984D-49B3-AB69-79920B0E90B9}"/>
    <cellStyle name="Normal 2 7 3 3 4 2" xfId="2585" xr:uid="{E9CE83EA-900E-4EAA-A473-EB33AD5FF875}"/>
    <cellStyle name="Normal 2 7 3 3 5" xfId="1594" xr:uid="{32835652-AB38-4294-B850-B3BB4DD0CABA}"/>
    <cellStyle name="Normal 2 7 3 4" xfId="167" xr:uid="{D0B8E5F9-A7A1-41E4-AA88-104E770587B0}"/>
    <cellStyle name="Normal 2 7 3 4 2" xfId="754" xr:uid="{3367C633-408E-455E-9781-62C9B4ED0C1F}"/>
    <cellStyle name="Normal 2 7 3 4 2 2" xfId="2055" xr:uid="{D207C1FF-784C-489C-9820-57384E49E2AE}"/>
    <cellStyle name="Normal 2 7 3 4 3" xfId="1064" xr:uid="{0D4891FD-5781-4EC8-A64D-53E135BC45A1}"/>
    <cellStyle name="Normal 2 7 3 4 3 2" xfId="2365" xr:uid="{3A1582FD-142C-47F7-8FEE-839973706DEC}"/>
    <cellStyle name="Normal 2 7 3 4 4" xfId="1374" xr:uid="{F68D9A93-2E79-41FB-BDB8-5F72DBC88D0E}"/>
    <cellStyle name="Normal 2 7 3 5" xfId="435" xr:uid="{62463CE2-E557-4558-8FC0-C2A041C53468}"/>
    <cellStyle name="Normal 2 7 3 5 2" xfId="1736" xr:uid="{6C8C8526-F323-4308-B0F5-BFFEA055B0A2}"/>
    <cellStyle name="Normal 2 7 3 6" xfId="704" xr:uid="{05B9EF57-EC6D-4796-9C56-DA1178DEAD80}"/>
    <cellStyle name="Normal 2 7 3 6 2" xfId="2005" xr:uid="{16F44936-EC8C-4711-8B66-0B5564BCE468}"/>
    <cellStyle name="Normal 2 7 3 7" xfId="1014" xr:uid="{6920DAFE-5A0F-4359-B512-31E8FE36A95F}"/>
    <cellStyle name="Normal 2 7 3 7 2" xfId="2315" xr:uid="{109E31C7-D885-404E-A2C8-4D771B4161AA}"/>
    <cellStyle name="Normal 2 7 3 8" xfId="1324" xr:uid="{15747593-3315-431B-8DD1-E5A5A09734FD}"/>
    <cellStyle name="Normal 2 7 4" xfId="182" xr:uid="{10A4AF5E-782E-4DAD-8EE8-DBCC1419D04E}"/>
    <cellStyle name="Normal 2 7 4 2" xfId="298" xr:uid="{8908F8E1-614D-4292-8607-85F9F19415C8}"/>
    <cellStyle name="Normal 2 7 4 2 2" xfId="574" xr:uid="{979EE8CE-552F-488E-917E-758D44B7CD47}"/>
    <cellStyle name="Normal 2 7 4 2 2 2" xfId="1875" xr:uid="{00372E5E-84F8-43C3-90A3-697FB0DFBA90}"/>
    <cellStyle name="Normal 2 7 4 2 3" xfId="884" xr:uid="{AD9AA00C-2262-431D-B1EE-E27CC9CC93D1}"/>
    <cellStyle name="Normal 2 7 4 2 3 2" xfId="2185" xr:uid="{4C056DB3-14EE-4B93-A8FE-F46F10E21B1A}"/>
    <cellStyle name="Normal 2 7 4 2 4" xfId="1194" xr:uid="{EC94AC27-CE40-46E7-81DB-878C69F98C3A}"/>
    <cellStyle name="Normal 2 7 4 2 4 2" xfId="2495" xr:uid="{874CAD0B-EA8B-4A33-85D7-BDC5E7F642B4}"/>
    <cellStyle name="Normal 2 7 4 2 5" xfId="1504" xr:uid="{6DAE1DC3-0CCE-4EB8-BF78-CE2E45D524B6}"/>
    <cellStyle name="Normal 2 7 4 3" xfId="460" xr:uid="{7F8FE552-B9C0-4B94-A811-D76B40E3107D}"/>
    <cellStyle name="Normal 2 7 4 3 2" xfId="1761" xr:uid="{7EC43649-4C8E-4241-A536-D92226D592ED}"/>
    <cellStyle name="Normal 2 7 4 4" xfId="769" xr:uid="{C4EBC3B9-2BF9-4E3E-ADD7-5AF4D271B072}"/>
    <cellStyle name="Normal 2 7 4 4 2" xfId="2070" xr:uid="{5E64280A-6142-4F74-80EC-24413B0AF5CB}"/>
    <cellStyle name="Normal 2 7 4 5" xfId="1079" xr:uid="{49F4E88F-3E91-414C-8347-EB9F0AAE74BD}"/>
    <cellStyle name="Normal 2 7 4 5 2" xfId="2380" xr:uid="{72AC7BDD-B8DF-4E95-9D28-F5A23A0BE081}"/>
    <cellStyle name="Normal 2 7 4 6" xfId="1389" xr:uid="{3A939FD1-3C98-425B-83B3-B964FA58B769}"/>
    <cellStyle name="Normal 2 7 5" xfId="193" xr:uid="{CC9BDF10-0177-4DE0-9B60-722B2AC855F0}"/>
    <cellStyle name="Normal 2 7 5 2" xfId="308" xr:uid="{6C64FA85-E18E-495E-A91A-4F88FEE5AA90}"/>
    <cellStyle name="Normal 2 7 5 2 2" xfId="584" xr:uid="{53854D95-FDA9-417C-ABB5-B23E8E2F69AA}"/>
    <cellStyle name="Normal 2 7 5 2 2 2" xfId="1885" xr:uid="{D54C8A64-4D91-4A9F-9170-BFACD1632475}"/>
    <cellStyle name="Normal 2 7 5 2 3" xfId="894" xr:uid="{E507C437-D6AA-42B4-BE9A-D4E074677A68}"/>
    <cellStyle name="Normal 2 7 5 2 3 2" xfId="2195" xr:uid="{B4190D4B-6C80-42EF-9A70-C227ABB96724}"/>
    <cellStyle name="Normal 2 7 5 2 4" xfId="1204" xr:uid="{80B293BD-25BE-424E-B7C3-0A668AFB81AA}"/>
    <cellStyle name="Normal 2 7 5 2 4 2" xfId="2505" xr:uid="{5AAD0B98-B86B-4334-B93C-FC8DDA72C1F0}"/>
    <cellStyle name="Normal 2 7 5 2 5" xfId="1514" xr:uid="{47D7C251-E878-4232-B756-A7F285280D2D}"/>
    <cellStyle name="Normal 2 7 5 3" xfId="469" xr:uid="{8ED9F76C-7F85-4D16-9542-7054DB23DA65}"/>
    <cellStyle name="Normal 2 7 5 3 2" xfId="1770" xr:uid="{DF56BCB1-5217-419C-91A3-B108D9145030}"/>
    <cellStyle name="Normal 2 7 5 4" xfId="779" xr:uid="{7EA180F9-A0CE-4DFE-A6C5-B5E67CFA7EC8}"/>
    <cellStyle name="Normal 2 7 5 4 2" xfId="2080" xr:uid="{443A9110-7F5F-44E4-8C5F-75701D8049DB}"/>
    <cellStyle name="Normal 2 7 5 5" xfId="1089" xr:uid="{AF0966C0-7C22-4CBD-B8EE-DCF1DA79ED0B}"/>
    <cellStyle name="Normal 2 7 5 5 2" xfId="2390" xr:uid="{27A4F191-D499-4EC0-B73A-7FC84B27AC34}"/>
    <cellStyle name="Normal 2 7 5 6" xfId="1399" xr:uid="{AECFA568-0937-467B-9B28-9532D3F60EE6}"/>
    <cellStyle name="Normal 2 7 6" xfId="223" xr:uid="{37A2CBAF-F7F0-446D-B7AC-C65193D4B12E}"/>
    <cellStyle name="Normal 2 7 6 2" xfId="338" xr:uid="{C478AE38-3E5A-4A1E-B51C-D13829D68FC7}"/>
    <cellStyle name="Normal 2 7 6 2 2" xfId="614" xr:uid="{8933E35A-4EDA-4641-A548-CA97D1679D61}"/>
    <cellStyle name="Normal 2 7 6 2 2 2" xfId="1915" xr:uid="{FB3EEA35-6D0D-438C-B86D-42351E41D685}"/>
    <cellStyle name="Normal 2 7 6 2 3" xfId="924" xr:uid="{1C12A892-D149-436F-89D6-47591C63D6AC}"/>
    <cellStyle name="Normal 2 7 6 2 3 2" xfId="2225" xr:uid="{6A45E414-C012-4520-B355-E6EF74F9D14F}"/>
    <cellStyle name="Normal 2 7 6 2 4" xfId="1234" xr:uid="{D0698067-608F-47D1-A439-401A951AFE66}"/>
    <cellStyle name="Normal 2 7 6 2 4 2" xfId="2535" xr:uid="{47274717-C082-4632-8C9E-C2EA1638F6DC}"/>
    <cellStyle name="Normal 2 7 6 2 5" xfId="1544" xr:uid="{94600269-9CA6-4979-950F-DF2C7D4AC971}"/>
    <cellStyle name="Normal 2 7 6 3" xfId="499" xr:uid="{E1F3D4E0-002B-494F-B778-0E9799E171C5}"/>
    <cellStyle name="Normal 2 7 6 3 2" xfId="1800" xr:uid="{6FC62DA0-B8E0-4915-B447-B42EC37DB4F6}"/>
    <cellStyle name="Normal 2 7 6 4" xfId="809" xr:uid="{1FA216B1-8D58-40A6-B902-73D820F1D3A1}"/>
    <cellStyle name="Normal 2 7 6 4 2" xfId="2110" xr:uid="{4E95EB79-D466-408D-847C-14108494D261}"/>
    <cellStyle name="Normal 2 7 6 5" xfId="1119" xr:uid="{E2D7A383-96A5-448A-9DCE-55E464D39FE3}"/>
    <cellStyle name="Normal 2 7 6 5 2" xfId="2420" xr:uid="{092EBFBC-85F1-4AD1-8730-12839B16617E}"/>
    <cellStyle name="Normal 2 7 6 6" xfId="1429" xr:uid="{071D7583-5680-4CF1-A339-B557A589956B}"/>
    <cellStyle name="Normal 2 7 7" xfId="233" xr:uid="{E57E8FE8-E9F2-4544-859F-E5C1D9E3B853}"/>
    <cellStyle name="Normal 2 7 7 2" xfId="348" xr:uid="{BF007E9D-DC33-4C42-A73D-CF6145B73D74}"/>
    <cellStyle name="Normal 2 7 7 2 2" xfId="624" xr:uid="{10CF62BD-577D-425C-8EE5-989B7D73F0F9}"/>
    <cellStyle name="Normal 2 7 7 2 2 2" xfId="1925" xr:uid="{8F593105-9CB2-496C-BDDB-4877C96E8532}"/>
    <cellStyle name="Normal 2 7 7 2 3" xfId="934" xr:uid="{B822251F-A6D1-43AF-AC6A-ACBF8DF6A9B9}"/>
    <cellStyle name="Normal 2 7 7 2 3 2" xfId="2235" xr:uid="{2529CDDE-7357-4F51-8C37-B30CD66B3352}"/>
    <cellStyle name="Normal 2 7 7 2 4" xfId="1244" xr:uid="{E0448095-3CEF-4426-99DF-B9842E48FF82}"/>
    <cellStyle name="Normal 2 7 7 2 4 2" xfId="2545" xr:uid="{E95B2ED1-1CAE-4D8B-92DC-13F908F34F2C}"/>
    <cellStyle name="Normal 2 7 7 2 5" xfId="1554" xr:uid="{CBBDC323-0718-4CDF-B1D5-9ED7059437C1}"/>
    <cellStyle name="Normal 2 7 7 3" xfId="509" xr:uid="{6B324BBE-82FE-45CC-8593-DA89618CCF53}"/>
    <cellStyle name="Normal 2 7 7 3 2" xfId="1810" xr:uid="{86D9BE4B-C76E-4F87-92E0-4FDC04F41DF3}"/>
    <cellStyle name="Normal 2 7 7 4" xfId="819" xr:uid="{C1AC0197-6F95-4851-A377-D894198354DD}"/>
    <cellStyle name="Normal 2 7 7 4 2" xfId="2120" xr:uid="{56DE5BA2-D030-4C3A-BBA9-59ED06994CD4}"/>
    <cellStyle name="Normal 2 7 7 5" xfId="1129" xr:uid="{A91295F8-5897-485D-AE2F-F79588108615}"/>
    <cellStyle name="Normal 2 7 7 5 2" xfId="2430" xr:uid="{A9F90B87-E404-4499-B506-FE72314EB428}"/>
    <cellStyle name="Normal 2 7 7 6" xfId="1439" xr:uid="{97BCEE02-5B88-45D1-8DAB-B01F1A70B648}"/>
    <cellStyle name="Normal 2 7 8" xfId="258" xr:uid="{A758060A-1B4C-493D-AF97-869642D31EB0}"/>
    <cellStyle name="Normal 2 7 8 2" xfId="534" xr:uid="{D1E4C988-22A7-4E60-8930-C9D3EB6633C2}"/>
    <cellStyle name="Normal 2 7 8 2 2" xfId="1835" xr:uid="{628CC04F-2FC0-4D07-9A39-F8F5B3BB18A6}"/>
    <cellStyle name="Normal 2 7 8 3" xfId="844" xr:uid="{58C91596-F2E2-4E1A-8365-98659E8095D2}"/>
    <cellStyle name="Normal 2 7 8 3 2" xfId="2145" xr:uid="{E0FF6AA7-71C6-4BFD-99EE-ACDF161EB10C}"/>
    <cellStyle name="Normal 2 7 8 4" xfId="1154" xr:uid="{A3726567-CD7B-4081-84A5-C62C11496620}"/>
    <cellStyle name="Normal 2 7 8 4 2" xfId="2455" xr:uid="{E32658E2-6367-4EAE-B99A-1D44A068FB39}"/>
    <cellStyle name="Normal 2 7 8 5" xfId="1464" xr:uid="{1C68E234-ADEA-48D8-A256-483F509DAA8B}"/>
    <cellStyle name="Normal 2 7 9" xfId="378" xr:uid="{90606653-F7BB-4419-85EE-8F3D45956E06}"/>
    <cellStyle name="Normal 2 7 9 2" xfId="654" xr:uid="{1414CA3B-2693-4BA9-8660-A9494FB10FAD}"/>
    <cellStyle name="Normal 2 7 9 2 2" xfId="1955" xr:uid="{A22FDF58-3A1D-48A9-AD4F-0F4A8C8E30E9}"/>
    <cellStyle name="Normal 2 7 9 3" xfId="964" xr:uid="{04950B73-1DF6-41DA-9D7E-20DD2AE4DF97}"/>
    <cellStyle name="Normal 2 7 9 3 2" xfId="2265" xr:uid="{55636ED7-F25F-4476-A08D-6B525D29BB93}"/>
    <cellStyle name="Normal 2 7 9 4" xfId="1274" xr:uid="{976B4E1C-907C-4C1B-BC31-0FA87CE6C9DD}"/>
    <cellStyle name="Normal 2 7 9 4 2" xfId="2575" xr:uid="{058E5DD4-0807-48EA-A8D1-9CB8F9C6DB62}"/>
    <cellStyle name="Normal 2 7 9 5" xfId="1584" xr:uid="{E72A0C69-0F72-488E-9B06-B6CEB2D4C72E}"/>
    <cellStyle name="Normal 2 8" xfId="102" xr:uid="{4368DB93-48BA-4DDD-82D6-0A0ABC3A1436}"/>
    <cellStyle name="Normal 2 8 10" xfId="420" xr:uid="{6AA281CF-4690-42FE-AAE1-7E9506CB9357}"/>
    <cellStyle name="Normal 2 8 10 2" xfId="1721" xr:uid="{08F5DF76-4587-4F7B-AF99-733BB5F839B4}"/>
    <cellStyle name="Normal 2 8 11" xfId="689" xr:uid="{7F56065D-361F-441A-A0EA-E1FB45728305}"/>
    <cellStyle name="Normal 2 8 11 2" xfId="1990" xr:uid="{36A6B359-06AB-4CE2-A9CC-E75167BA7617}"/>
    <cellStyle name="Normal 2 8 12" xfId="999" xr:uid="{99F11A44-CBC1-4FC1-9DF4-F29DA70E7AC4}"/>
    <cellStyle name="Normal 2 8 12 2" xfId="2300" xr:uid="{939BB2CD-433F-4BBB-B17E-42C46BD82C78}"/>
    <cellStyle name="Normal 2 8 13" xfId="1309" xr:uid="{9011B523-2615-4DC2-98D2-B09EB01553FA}"/>
    <cellStyle name="Normal 2 8 2" xfId="127" xr:uid="{486B31AF-520E-47A7-AB44-B6568589A12D}"/>
    <cellStyle name="Normal 2 8 2 2" xfId="278" xr:uid="{354E566A-5463-4BB6-A09E-C2D06B345692}"/>
    <cellStyle name="Normal 2 8 2 2 2" xfId="554" xr:uid="{17B0A7F7-CC80-4853-9750-835DEFC12828}"/>
    <cellStyle name="Normal 2 8 2 2 2 2" xfId="1855" xr:uid="{A5F8E7C8-8C70-40E5-A3C6-786962886D1F}"/>
    <cellStyle name="Normal 2 8 2 2 3" xfId="864" xr:uid="{82C02F69-E243-4863-BB8F-809BD7AA89AE}"/>
    <cellStyle name="Normal 2 8 2 2 3 2" xfId="2165" xr:uid="{C3CBEC00-D032-4E7F-9ECB-769B6B9A2A8C}"/>
    <cellStyle name="Normal 2 8 2 2 4" xfId="1174" xr:uid="{24DE1717-199E-40F5-ABEA-3CD5CBFDEA64}"/>
    <cellStyle name="Normal 2 8 2 2 4 2" xfId="2475" xr:uid="{B53EB402-2D06-4C32-B332-48351CCCCF72}"/>
    <cellStyle name="Normal 2 8 2 2 5" xfId="1484" xr:uid="{FFE5698A-9560-4077-9A5B-37A7FD7B1FEC}"/>
    <cellStyle name="Normal 2 8 2 3" xfId="398" xr:uid="{0BFDEE17-7697-44CF-B71C-3743ECCA8112}"/>
    <cellStyle name="Normal 2 8 2 3 2" xfId="674" xr:uid="{283894D2-5F7B-4112-93C2-7AE49B18C1EF}"/>
    <cellStyle name="Normal 2 8 2 3 2 2" xfId="1975" xr:uid="{E6E49C54-E34D-45B1-B005-37CAB8D7A055}"/>
    <cellStyle name="Normal 2 8 2 3 3" xfId="984" xr:uid="{094D64E6-FECC-403A-9EF3-2B4B2D074DB5}"/>
    <cellStyle name="Normal 2 8 2 3 3 2" xfId="2285" xr:uid="{3B24653B-1456-4F78-9D94-9C2C74BBA6F1}"/>
    <cellStyle name="Normal 2 8 2 3 4" xfId="1294" xr:uid="{E09D89EF-727F-46A2-A379-F635D66C8783}"/>
    <cellStyle name="Normal 2 8 2 3 4 2" xfId="2595" xr:uid="{833F52A7-3EDB-4863-B577-4B46542ABE78}"/>
    <cellStyle name="Normal 2 8 2 3 5" xfId="1604" xr:uid="{75D361EA-087D-4F1E-AE6C-3AFDE22FF980}"/>
    <cellStyle name="Normal 2 8 2 4" xfId="162" xr:uid="{51D69B3D-32AD-4828-AD5D-BBDBB7C9C5A9}"/>
    <cellStyle name="Normal 2 8 2 4 2" xfId="749" xr:uid="{B51D6AC2-3E09-4600-AF3B-B0962FC56B9C}"/>
    <cellStyle name="Normal 2 8 2 4 2 2" xfId="2050" xr:uid="{29C03A3A-DCF0-4BB4-98F7-E96DF39205DA}"/>
    <cellStyle name="Normal 2 8 2 4 3" xfId="1059" xr:uid="{7A11E6F2-0F70-466A-848C-C86D2BDF8D1B}"/>
    <cellStyle name="Normal 2 8 2 4 3 2" xfId="2360" xr:uid="{AF48FBD6-3A11-44CF-A032-D72B769E9D06}"/>
    <cellStyle name="Normal 2 8 2 4 4" xfId="1369" xr:uid="{5A4FA2CC-6A4D-4F6A-BE03-4D0A7BD682B2}"/>
    <cellStyle name="Normal 2 8 2 5" xfId="445" xr:uid="{345366D1-17ED-4E85-ABC5-1A2FBEB0D9F4}"/>
    <cellStyle name="Normal 2 8 2 5 2" xfId="1746" xr:uid="{46B8BEDE-BC91-429C-9B69-BAEE2014EE34}"/>
    <cellStyle name="Normal 2 8 2 6" xfId="714" xr:uid="{E4808A8D-A435-49BC-978F-D11BEFCD1EAD}"/>
    <cellStyle name="Normal 2 8 2 6 2" xfId="2015" xr:uid="{092B54BC-F99C-42F7-9733-EDCE3914CE84}"/>
    <cellStyle name="Normal 2 8 2 7" xfId="1024" xr:uid="{C0B7F6F0-1517-416D-8C54-3E604ED333C5}"/>
    <cellStyle name="Normal 2 8 2 7 2" xfId="2325" xr:uid="{29C63FCF-86FE-4D7D-8E95-9993469E857D}"/>
    <cellStyle name="Normal 2 8 2 8" xfId="1334" xr:uid="{CFD52401-C81B-4316-AC96-FD875E368B3A}"/>
    <cellStyle name="Normal 2 8 3" xfId="177" xr:uid="{7E169814-DCD7-40AA-96F5-594D3CFD92D1}"/>
    <cellStyle name="Normal 2 8 3 2" xfId="293" xr:uid="{B74AEB5B-85E7-41EB-AD52-FB0A7970BEE5}"/>
    <cellStyle name="Normal 2 8 3 2 2" xfId="569" xr:uid="{6490334F-9701-4621-B62B-493538248CC3}"/>
    <cellStyle name="Normal 2 8 3 2 2 2" xfId="1870" xr:uid="{E20FEA88-1686-4920-A706-39F268B05E56}"/>
    <cellStyle name="Normal 2 8 3 2 3" xfId="879" xr:uid="{29347E61-6A20-45F9-AA3A-8D97CF766AD1}"/>
    <cellStyle name="Normal 2 8 3 2 3 2" xfId="2180" xr:uid="{C913ABDD-5C88-463C-8BF7-B5566E1A1223}"/>
    <cellStyle name="Normal 2 8 3 2 4" xfId="1189" xr:uid="{8170126C-4181-4977-A4D2-9F661DE35D9F}"/>
    <cellStyle name="Normal 2 8 3 2 4 2" xfId="2490" xr:uid="{DFBF5AF4-B283-440C-A818-E09699BEDA80}"/>
    <cellStyle name="Normal 2 8 3 2 5" xfId="1499" xr:uid="{9A3564EF-E3FD-4D78-805E-D76BC6A1622B}"/>
    <cellStyle name="Normal 2 8 3 3" xfId="455" xr:uid="{01B93196-8709-43B5-8204-7F4834B2E31A}"/>
    <cellStyle name="Normal 2 8 3 3 2" xfId="1756" xr:uid="{0CDD5CED-F05A-4C5F-B7E9-74B0F6A6DB00}"/>
    <cellStyle name="Normal 2 8 3 4" xfId="764" xr:uid="{63507BE2-8BA6-4920-B252-804B07BA137B}"/>
    <cellStyle name="Normal 2 8 3 4 2" xfId="2065" xr:uid="{54F2F792-8E5E-4B21-9786-29797D700A6E}"/>
    <cellStyle name="Normal 2 8 3 5" xfId="1074" xr:uid="{177431B0-31F0-47A5-A7B0-8451A12D1043}"/>
    <cellStyle name="Normal 2 8 3 5 2" xfId="2375" xr:uid="{6F6D47BE-484F-4E5A-9DE3-DA0FD416BEDF}"/>
    <cellStyle name="Normal 2 8 3 6" xfId="1384" xr:uid="{A52DE814-1675-4FD9-9B9F-1DCE472B07B0}"/>
    <cellStyle name="Normal 2 8 4" xfId="203" xr:uid="{D4C7C223-C2B0-465C-A719-FEBE8C19D556}"/>
    <cellStyle name="Normal 2 8 4 2" xfId="318" xr:uid="{7BABE089-F4C0-4C95-B099-B0CC63A6760D}"/>
    <cellStyle name="Normal 2 8 4 2 2" xfId="594" xr:uid="{68708B70-645D-4B26-AAAD-9FE6D81B0336}"/>
    <cellStyle name="Normal 2 8 4 2 2 2" xfId="1895" xr:uid="{ADE4A3BD-D57A-4CBC-AA61-08C1815F05A9}"/>
    <cellStyle name="Normal 2 8 4 2 3" xfId="904" xr:uid="{C6C68446-094B-4EBD-B953-6984E36F4A50}"/>
    <cellStyle name="Normal 2 8 4 2 3 2" xfId="2205" xr:uid="{AEABCA06-C4F5-45E3-81BD-A11377B17CD7}"/>
    <cellStyle name="Normal 2 8 4 2 4" xfId="1214" xr:uid="{22E3F10D-03E1-4C20-9386-8116D7179B06}"/>
    <cellStyle name="Normal 2 8 4 2 4 2" xfId="2515" xr:uid="{155BACD5-117A-4F9B-82E5-35C0C958A7FE}"/>
    <cellStyle name="Normal 2 8 4 2 5" xfId="1524" xr:uid="{1E2E2DE7-8A17-4229-A61B-36BEB78234DB}"/>
    <cellStyle name="Normal 2 8 4 3" xfId="479" xr:uid="{52BD534B-58E2-4FA7-B39A-8B683E315E5E}"/>
    <cellStyle name="Normal 2 8 4 3 2" xfId="1780" xr:uid="{4BF9A0BF-2F6B-481A-B8F7-E3BDB116A9FB}"/>
    <cellStyle name="Normal 2 8 4 4" xfId="789" xr:uid="{25E817A9-001A-4775-8938-C8B0C6DC7BBA}"/>
    <cellStyle name="Normal 2 8 4 4 2" xfId="2090" xr:uid="{E7F2F58A-C69D-4246-8B0B-CB977A0F6909}"/>
    <cellStyle name="Normal 2 8 4 5" xfId="1099" xr:uid="{C9CE7974-6208-487B-95E9-BC1206023546}"/>
    <cellStyle name="Normal 2 8 4 5 2" xfId="2400" xr:uid="{E343E7DA-2B1B-474D-89CB-564AC8A34547}"/>
    <cellStyle name="Normal 2 8 4 6" xfId="1409" xr:uid="{52027D3F-17A3-44F7-922B-714B56D275F8}"/>
    <cellStyle name="Normal 2 8 5" xfId="218" xr:uid="{FF783B77-877A-4FC6-AD7D-6B583EDBBD17}"/>
    <cellStyle name="Normal 2 8 5 2" xfId="333" xr:uid="{2D70F7CB-6311-4C59-AD7E-8C96FA0DB634}"/>
    <cellStyle name="Normal 2 8 5 2 2" xfId="609" xr:uid="{4C6643DC-3A8C-44FF-9A62-744CB2539C43}"/>
    <cellStyle name="Normal 2 8 5 2 2 2" xfId="1910" xr:uid="{A5D508D9-4BD9-47A0-90D9-477C8448A6E4}"/>
    <cellStyle name="Normal 2 8 5 2 3" xfId="919" xr:uid="{8FE088DC-4383-425B-BA6C-E49694C80BA3}"/>
    <cellStyle name="Normal 2 8 5 2 3 2" xfId="2220" xr:uid="{7F4BC2BC-F878-40D5-9572-576CA4CFA7A9}"/>
    <cellStyle name="Normal 2 8 5 2 4" xfId="1229" xr:uid="{CD9F13C9-8409-4528-A1D3-74D72097E3F8}"/>
    <cellStyle name="Normal 2 8 5 2 4 2" xfId="2530" xr:uid="{C003F5E9-5233-4CF3-97D4-D67C1D8231D2}"/>
    <cellStyle name="Normal 2 8 5 2 5" xfId="1539" xr:uid="{DB187103-AA81-44D6-A43A-628250D2A1B0}"/>
    <cellStyle name="Normal 2 8 5 3" xfId="494" xr:uid="{2810A8D9-196B-4C89-AE03-D2FB9CE534E8}"/>
    <cellStyle name="Normal 2 8 5 3 2" xfId="1795" xr:uid="{DBE34771-1DB3-466A-9E7F-3C289BC1B30B}"/>
    <cellStyle name="Normal 2 8 5 4" xfId="804" xr:uid="{69015EA8-C0B6-4120-866A-BC356E8DE317}"/>
    <cellStyle name="Normal 2 8 5 4 2" xfId="2105" xr:uid="{31CD4D7B-FA8E-4437-A512-6C1161E72567}"/>
    <cellStyle name="Normal 2 8 5 5" xfId="1114" xr:uid="{843F1695-D38C-40DE-8371-389238C2E43A}"/>
    <cellStyle name="Normal 2 8 5 5 2" xfId="2415" xr:uid="{CD5929A7-05A3-4CE7-BB6B-C25F285BB962}"/>
    <cellStyle name="Normal 2 8 5 6" xfId="1424" xr:uid="{1BA53FC6-16C9-4FDD-9DF2-49C274436883}"/>
    <cellStyle name="Normal 2 8 6" xfId="243" xr:uid="{FAB82E86-2412-4461-8682-AD98337AA5A9}"/>
    <cellStyle name="Normal 2 8 6 2" xfId="358" xr:uid="{184005C5-7936-4779-A96B-6B51DFFF0FE9}"/>
    <cellStyle name="Normal 2 8 6 2 2" xfId="634" xr:uid="{2006501E-F97A-4BAE-8537-24EA626B4E60}"/>
    <cellStyle name="Normal 2 8 6 2 2 2" xfId="1935" xr:uid="{E423F632-5196-46AE-B96A-DB8351F77928}"/>
    <cellStyle name="Normal 2 8 6 2 3" xfId="944" xr:uid="{32767126-9398-4353-B859-990E75CDABC3}"/>
    <cellStyle name="Normal 2 8 6 2 3 2" xfId="2245" xr:uid="{DA90C43B-7B3A-476E-9D77-298484FC520D}"/>
    <cellStyle name="Normal 2 8 6 2 4" xfId="1254" xr:uid="{215EB805-F336-4EA6-957C-7FE9438A6E40}"/>
    <cellStyle name="Normal 2 8 6 2 4 2" xfId="2555" xr:uid="{3E5D43A1-6BC8-44DC-940A-45D0BEFB4233}"/>
    <cellStyle name="Normal 2 8 6 2 5" xfId="1564" xr:uid="{8506DEC4-722A-4203-910C-E924C1C07F19}"/>
    <cellStyle name="Normal 2 8 6 3" xfId="519" xr:uid="{A4E36379-DB6C-47EB-9761-9E18A315D951}"/>
    <cellStyle name="Normal 2 8 6 3 2" xfId="1820" xr:uid="{C1CD694E-EEC5-4F7B-80B1-6F28D3888060}"/>
    <cellStyle name="Normal 2 8 6 4" xfId="829" xr:uid="{D8A903FF-2F01-423B-96A2-0D929288B7D9}"/>
    <cellStyle name="Normal 2 8 6 4 2" xfId="2130" xr:uid="{638F3C8D-5839-4806-8205-0A95251524FF}"/>
    <cellStyle name="Normal 2 8 6 5" xfId="1139" xr:uid="{CE6A25A3-C3C0-4124-992B-3BF3F1A35E33}"/>
    <cellStyle name="Normal 2 8 6 5 2" xfId="2440" xr:uid="{47683D0C-2C08-4738-8571-E8E48E7304DC}"/>
    <cellStyle name="Normal 2 8 6 6" xfId="1449" xr:uid="{6C5322B2-9B00-4CE4-AC04-154A3A027516}"/>
    <cellStyle name="Normal 2 8 7" xfId="263" xr:uid="{1E2BC2DD-39EF-4974-9698-74F94D750DAF}"/>
    <cellStyle name="Normal 2 8 7 2" xfId="539" xr:uid="{71B6D2EB-4A52-4371-BE1B-C9E30D8F7E8C}"/>
    <cellStyle name="Normal 2 8 7 2 2" xfId="1840" xr:uid="{3C0EA232-C6EE-42D7-B25E-78716442F2F5}"/>
    <cellStyle name="Normal 2 8 7 3" xfId="849" xr:uid="{AE3788B7-1285-46DD-8DE6-946569409B72}"/>
    <cellStyle name="Normal 2 8 7 3 2" xfId="2150" xr:uid="{D0ACD566-3151-4838-9C4C-7B233DD42483}"/>
    <cellStyle name="Normal 2 8 7 4" xfId="1159" xr:uid="{CEB6ABC8-A38F-47B6-B635-1D6A2C2B94B0}"/>
    <cellStyle name="Normal 2 8 7 4 2" xfId="2460" xr:uid="{65EA4444-88AF-4AB6-A05E-D62D62148D5D}"/>
    <cellStyle name="Normal 2 8 7 5" xfId="1469" xr:uid="{0D59172B-A84A-4966-BB74-EEDE8F76B7A3}"/>
    <cellStyle name="Normal 2 8 8" xfId="373" xr:uid="{DFDE5463-2478-4C41-BD38-C2EB223434FF}"/>
    <cellStyle name="Normal 2 8 8 2" xfId="649" xr:uid="{9688795E-DFF8-4E90-85B4-C1616BDAB709}"/>
    <cellStyle name="Normal 2 8 8 2 2" xfId="1950" xr:uid="{41E47411-6449-4815-9FF0-D6AE4D0E0479}"/>
    <cellStyle name="Normal 2 8 8 3" xfId="959" xr:uid="{BD2B5AC4-C1FC-4B3A-B511-3E27CDE206AC}"/>
    <cellStyle name="Normal 2 8 8 3 2" xfId="2260" xr:uid="{F7231F79-B378-4B46-906F-9A05D5A0DEBB}"/>
    <cellStyle name="Normal 2 8 8 4" xfId="1269" xr:uid="{5E2B6856-6B19-42B1-8604-AC8CD1655B2E}"/>
    <cellStyle name="Normal 2 8 8 4 2" xfId="2570" xr:uid="{695FA11C-1347-4A41-ADE2-279FA6ACAF09}"/>
    <cellStyle name="Normal 2 8 8 5" xfId="1579" xr:uid="{1F2D982D-966C-4E40-AF29-B1B60758A1D3}"/>
    <cellStyle name="Normal 2 8 9" xfId="147" xr:uid="{A04D5D32-6D3D-4A0C-8427-A46549BAC1F2}"/>
    <cellStyle name="Normal 2 8 9 2" xfId="734" xr:uid="{A42717E9-0EEA-49D0-BA62-374D133513BC}"/>
    <cellStyle name="Normal 2 8 9 2 2" xfId="2035" xr:uid="{3B74134F-4B16-4AA1-BDA7-FC1F0FB2B7B5}"/>
    <cellStyle name="Normal 2 8 9 3" xfId="1044" xr:uid="{300655F8-ABFD-494F-908D-61EE439EA873}"/>
    <cellStyle name="Normal 2 8 9 3 2" xfId="2345" xr:uid="{7CE535D7-99C5-45E6-9D84-4E0A8D464581}"/>
    <cellStyle name="Normal 2 8 9 4" xfId="1354" xr:uid="{CE07E05D-7D1A-441E-BAE9-D7BE812703B1}"/>
    <cellStyle name="Normal 2 9" xfId="122" xr:uid="{1F14BA6C-0B12-4831-898F-E6298E22053E}"/>
    <cellStyle name="Normal 2 9 10" xfId="1329" xr:uid="{D12C1B46-EEFE-42D6-8C75-E1BD0A3481F9}"/>
    <cellStyle name="Normal 2 9 2" xfId="198" xr:uid="{83E2F70F-618B-4754-9F3B-F6F000DACA07}"/>
    <cellStyle name="Normal 2 9 2 2" xfId="313" xr:uid="{F0171A98-E729-4CCD-B3D6-C061B0AE6871}"/>
    <cellStyle name="Normal 2 9 2 2 2" xfId="589" xr:uid="{1CD10024-1B74-469B-8AE0-696C8A71C6DF}"/>
    <cellStyle name="Normal 2 9 2 2 2 2" xfId="1890" xr:uid="{26A4D1BB-740C-4933-AA7F-2B0627FACF68}"/>
    <cellStyle name="Normal 2 9 2 2 3" xfId="899" xr:uid="{BAA158B3-0E84-44EB-B45C-9428FEFBB300}"/>
    <cellStyle name="Normal 2 9 2 2 3 2" xfId="2200" xr:uid="{8C8B763F-DA5F-44BB-B039-F8C10C9CBF26}"/>
    <cellStyle name="Normal 2 9 2 2 4" xfId="1209" xr:uid="{AA68C3F9-4A2D-4115-AEB5-C90C0E655221}"/>
    <cellStyle name="Normal 2 9 2 2 4 2" xfId="2510" xr:uid="{A7F16259-F965-4FD7-95D2-01B96DCEC8D5}"/>
    <cellStyle name="Normal 2 9 2 2 5" xfId="1519" xr:uid="{DE915841-5BA4-46CB-B5A7-D047E4D7177D}"/>
    <cellStyle name="Normal 2 9 2 3" xfId="474" xr:uid="{60245049-D06C-424F-8AAB-6B14F7147E0E}"/>
    <cellStyle name="Normal 2 9 2 3 2" xfId="1775" xr:uid="{428F1208-1F5D-4206-9CF4-B14C90804134}"/>
    <cellStyle name="Normal 2 9 2 4" xfId="784" xr:uid="{5FE60266-8BFD-44B6-AE41-521B8B2E04CB}"/>
    <cellStyle name="Normal 2 9 2 4 2" xfId="2085" xr:uid="{B13DE7EE-774E-4926-9CA0-07F0811F716B}"/>
    <cellStyle name="Normal 2 9 2 5" xfId="1094" xr:uid="{C7F8367C-F523-4964-9596-E48B358E58E5}"/>
    <cellStyle name="Normal 2 9 2 5 2" xfId="2395" xr:uid="{CCBAD1E4-06A4-48F7-803B-5CD729F4DBD8}"/>
    <cellStyle name="Normal 2 9 2 6" xfId="1404" xr:uid="{E8A2AC8F-0877-4476-A186-5338024B4DAA}"/>
    <cellStyle name="Normal 2 9 3" xfId="238" xr:uid="{BDE62ECD-8F77-4991-9033-D95F5D8DE7B6}"/>
    <cellStyle name="Normal 2 9 3 2" xfId="353" xr:uid="{0E0303E3-D46F-45B1-9109-6398DB817A1A}"/>
    <cellStyle name="Normal 2 9 3 2 2" xfId="629" xr:uid="{7DEBD40E-C341-471F-8595-4EE0C189B839}"/>
    <cellStyle name="Normal 2 9 3 2 2 2" xfId="1930" xr:uid="{27D76FA8-AE1B-4DC1-8456-FE74AAB837B1}"/>
    <cellStyle name="Normal 2 9 3 2 3" xfId="939" xr:uid="{3790F240-43CF-4800-A41D-8DE7FCC408EA}"/>
    <cellStyle name="Normal 2 9 3 2 3 2" xfId="2240" xr:uid="{A0BC0F09-2AFB-4CF9-A33C-1764834ECB68}"/>
    <cellStyle name="Normal 2 9 3 2 4" xfId="1249" xr:uid="{E3C74F49-B0DF-453B-A2BA-9791FF23E32A}"/>
    <cellStyle name="Normal 2 9 3 2 4 2" xfId="2550" xr:uid="{DF85A7A9-561E-43D1-99C1-6D469F4AF63A}"/>
    <cellStyle name="Normal 2 9 3 2 5" xfId="1559" xr:uid="{305B9B03-E8BF-44DE-A9C0-302F9DBE71A3}"/>
    <cellStyle name="Normal 2 9 3 3" xfId="514" xr:uid="{A2940ABA-91A1-4D33-B766-13BEB2C33ABE}"/>
    <cellStyle name="Normal 2 9 3 3 2" xfId="1815" xr:uid="{182F2E17-84A9-40A8-8B99-E98E3A3B1C43}"/>
    <cellStyle name="Normal 2 9 3 4" xfId="824" xr:uid="{548B30C2-3D58-430D-9922-1297F0DFC975}"/>
    <cellStyle name="Normal 2 9 3 4 2" xfId="2125" xr:uid="{48980A7B-15DF-499D-BC25-1A4AEEBED7FC}"/>
    <cellStyle name="Normal 2 9 3 5" xfId="1134" xr:uid="{E48DCD0A-13BE-455E-9422-60337F7FD2AD}"/>
    <cellStyle name="Normal 2 9 3 5 2" xfId="2435" xr:uid="{D7D64C53-433A-45EA-8C00-48B7F64A7790}"/>
    <cellStyle name="Normal 2 9 3 6" xfId="1444" xr:uid="{073F2889-7FDE-4959-82C9-FFD39B67ADCF}"/>
    <cellStyle name="Normal 2 9 4" xfId="273" xr:uid="{760D68C0-B47A-4049-BAF9-044F05E767E1}"/>
    <cellStyle name="Normal 2 9 4 2" xfId="549" xr:uid="{8657EF09-21DE-4EF2-BBF5-0584D7E70E2F}"/>
    <cellStyle name="Normal 2 9 4 2 2" xfId="1850" xr:uid="{0E4B6F27-7EFF-4A79-AD6D-7177516902A1}"/>
    <cellStyle name="Normal 2 9 4 3" xfId="859" xr:uid="{865B2F41-FF69-4CF7-9602-386B9D4C6A7C}"/>
    <cellStyle name="Normal 2 9 4 3 2" xfId="2160" xr:uid="{F7B9238F-15A4-43F6-BC27-058DAC55628C}"/>
    <cellStyle name="Normal 2 9 4 4" xfId="1169" xr:uid="{A3ED0B4E-0702-4786-8B29-3DE32BCF9F30}"/>
    <cellStyle name="Normal 2 9 4 4 2" xfId="2470" xr:uid="{E54469AE-AE45-4F42-94F7-AA4AD9B79F8E}"/>
    <cellStyle name="Normal 2 9 4 5" xfId="1479" xr:uid="{52C6DE26-513C-4F43-A79A-C608F26ED895}"/>
    <cellStyle name="Normal 2 9 5" xfId="393" xr:uid="{E7FC061C-D0CB-4342-AE9E-32AE0919AA47}"/>
    <cellStyle name="Normal 2 9 5 2" xfId="669" xr:uid="{03F61547-07A6-49E7-9C8C-4FAB4DE227E0}"/>
    <cellStyle name="Normal 2 9 5 2 2" xfId="1970" xr:uid="{09F35EB9-3D15-4974-B908-983F25FB96A0}"/>
    <cellStyle name="Normal 2 9 5 3" xfId="979" xr:uid="{9D3FD7C3-0C99-4125-809F-D3CB0E2763E2}"/>
    <cellStyle name="Normal 2 9 5 3 2" xfId="2280" xr:uid="{60B8DD0F-1CA9-48BB-978B-E378198BCB76}"/>
    <cellStyle name="Normal 2 9 5 4" xfId="1289" xr:uid="{1BF67679-BD38-44F5-90AA-32F961E911CC}"/>
    <cellStyle name="Normal 2 9 5 4 2" xfId="2590" xr:uid="{067FC907-5854-4879-B6AE-5209B7795B1B}"/>
    <cellStyle name="Normal 2 9 5 5" xfId="1599" xr:uid="{A7B8E305-0B1C-4227-95F3-09E493AB67E2}"/>
    <cellStyle name="Normal 2 9 6" xfId="157" xr:uid="{4190F859-31B4-45EC-9254-B0AD99FACCB3}"/>
    <cellStyle name="Normal 2 9 6 2" xfId="744" xr:uid="{887D5DCB-7399-470E-94AB-069389DCC55B}"/>
    <cellStyle name="Normal 2 9 6 2 2" xfId="2045" xr:uid="{16EDB14C-6C0B-4EBE-80FF-74E1D546FBD6}"/>
    <cellStyle name="Normal 2 9 6 3" xfId="1054" xr:uid="{B97817BC-8E65-4ED4-8E61-B489ABFDAC1A}"/>
    <cellStyle name="Normal 2 9 6 3 2" xfId="2355" xr:uid="{E6E4FA0D-F2DA-465C-BFBD-FAD8473954E5}"/>
    <cellStyle name="Normal 2 9 6 4" xfId="1364" xr:uid="{9945870E-9CD6-4A0D-8C03-05050CA84905}"/>
    <cellStyle name="Normal 2 9 7" xfId="440" xr:uid="{91952621-6DC6-4D6F-AE18-518847B9C104}"/>
    <cellStyle name="Normal 2 9 7 2" xfId="1741" xr:uid="{33D6A828-5388-4A92-9021-3790599E4C9C}"/>
    <cellStyle name="Normal 2 9 8" xfId="709" xr:uid="{5E086FE8-2B51-456E-9502-BB4C02D31CDE}"/>
    <cellStyle name="Normal 2 9 8 2" xfId="2010" xr:uid="{08DAC179-7E5D-4928-9EFC-3E688569891F}"/>
    <cellStyle name="Normal 2 9 9" xfId="1019" xr:uid="{F16441D2-AA18-48C8-9902-32844B0C5E32}"/>
    <cellStyle name="Normal 2 9 9 2" xfId="2320" xr:uid="{70EBFE92-62E5-4A98-8DA4-9CE90F35A0F5}"/>
    <cellStyle name="Normal 3" xfId="2" xr:uid="{ABE163DF-8B2B-4DDC-A7B3-64AD5D1EB196}"/>
    <cellStyle name="Normal 3 2" xfId="50" xr:uid="{3911CA11-3AC0-481C-AB1A-5F5AFD65B4E9}"/>
    <cellStyle name="Normal 4" xfId="55" xr:uid="{1FE7ADD3-D677-4A68-989F-D091A785C85D}"/>
    <cellStyle name="Normal 4 2" xfId="61" xr:uid="{ED126009-6AC1-4A24-91E9-D03352712EEE}"/>
    <cellStyle name="Normal 43" xfId="1701" xr:uid="{CE2A1B0B-7BA5-4E10-ABFA-054717F78486}"/>
    <cellStyle name="Normal 45" xfId="1708" xr:uid="{B324BD22-74B0-4C6D-BDC8-396845B7544A}"/>
    <cellStyle name="Normal 6" xfId="45" xr:uid="{5783A90B-954A-4FD9-8A87-B899176C7038}"/>
    <cellStyle name="Normal 61" xfId="1702" xr:uid="{7FB37A8B-B13F-4AD1-B9BA-54DF5B54576B}"/>
    <cellStyle name="Normal 67" xfId="1703" xr:uid="{4879B4E2-4CC3-42AD-B03D-E2983B9A8A25}"/>
    <cellStyle name="Normal 69" xfId="1704" xr:uid="{B6332B15-92D4-46FF-A2A3-C369ABFAC909}"/>
    <cellStyle name="Normal 7 2" xfId="44" xr:uid="{F794F6E3-A1A2-4D56-8ADC-C918686F8383}"/>
    <cellStyle name="Normal 8 2" xfId="46" xr:uid="{79C6C1C5-27C0-4351-A59C-AF027C7E860D}"/>
    <cellStyle name="Note" xfId="16" builtinId="10" customBuiltin="1"/>
    <cellStyle name="Output" xfId="11" builtinId="21" customBuiltin="1"/>
    <cellStyle name="Output 2" xfId="71" xr:uid="{DB7D6BAB-9005-4F05-8BB6-ED12F0CF3C2E}"/>
    <cellStyle name="S11" xfId="1706" xr:uid="{59ACD255-5F13-423E-83C3-EB2AA1956D8F}"/>
    <cellStyle name="Title" xfId="3" builtinId="15" customBuiltin="1"/>
    <cellStyle name="Title 2" xfId="62" xr:uid="{94EE33EB-0E98-470E-827B-E66C319781C1}"/>
    <cellStyle name="Total" xfId="18" builtinId="25" customBuiltin="1"/>
    <cellStyle name="Total 2" xfId="77" xr:uid="{E3489F41-8BE3-425D-ACBE-5350623FA669}"/>
    <cellStyle name="Warning Text" xfId="15" builtinId="11" customBuiltin="1"/>
    <cellStyle name="Warning Text 2" xfId="75" xr:uid="{10E4848A-FE99-47EF-9FE7-CE181CE31AF6}"/>
  </cellStyles>
  <dxfs count="20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9" formatCode="m/d/yyyy"/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right style="thin">
          <color theme="1"/>
        </right>
        <top style="medium">
          <color rgb="FF000000"/>
        </top>
      </border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0" formatCode="General"/>
      <fill>
        <patternFill patternType="solid">
          <fgColor theme="9"/>
          <bgColor theme="1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theme="1"/>
        </right>
        <top style="thin">
          <color theme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[$-409]d\-mmm\-yy;@"/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[$-409]d\-mmm\-yy;@"/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0" formatCode="d\-mmm\-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7" formatCode="0.00\ &quot;thn&quot;"/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_-* #,##0_-;\-* #,##0_-;_-* &quot;-&quot;_-;_-@_-"/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_-* #,##0_-;\-* #,##0_-;_-* &quot;-&quot;_-;_-@_-"/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_-* #,##0_-;\-* #,##0_-;_-* &quot;-&quot;_-;_-@_-"/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30" formatCode="@"/>
      <fill>
        <patternFill patternType="solid">
          <fgColor indexed="64"/>
          <bgColor theme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outline="0">
        <left style="thin">
          <color indexed="64"/>
        </left>
        <top style="thin">
          <color indexed="64"/>
        </top>
      </border>
    </dxf>
    <dxf>
      <fill>
        <patternFill>
          <fgColor indexed="64"/>
          <bgColor theme="1"/>
        </patternFill>
      </fill>
    </dxf>
    <dxf>
      <numFmt numFmtId="165" formatCode="[$-409]d\-mmm\-yy;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[$-409]d\-mmm\-yy;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0" formatCode="d\-mmm\-yy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7" formatCode="0.00\ &quot;thn&quot;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top style="thin">
          <color indexed="64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Gita/insentif/mapping%20sales/mapping%20berjala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BF940953-2188-4D2A-8608-8EE718D4FA2A}" name="Table8" displayName="Table8" ref="A3:P13" totalsRowShown="0" headerRowDxfId="185" dataDxfId="168" tableBorderDxfId="186">
  <autoFilter ref="A3:P13" xr:uid="{F039408B-4CB2-42E0-94D9-C2FACB13F0EC}"/>
  <tableColumns count="16">
    <tableColumn id="1" xr3:uid="{6DDCF9DB-FB94-4376-A988-A4AE46FA1005}" name="St" dataDxfId="184"/>
    <tableColumn id="2" xr3:uid="{98266215-39DC-4CB7-82EB-937BE11905B9}" name="FIX" dataDxfId="183"/>
    <tableColumn id="3" xr3:uid="{7C6E5BF2-8A8F-4C84-8CFF-F7C81E789A69}" name="Nu" dataDxfId="182"/>
    <tableColumn id="4" xr3:uid="{CB726439-3006-4C6A-8993-95ED66AA6E53}" name="NIK" dataDxfId="181"/>
    <tableColumn id="5" xr3:uid="{6ACCD7C9-8425-4633-93B1-658DD0867A03}" name="Sakit" dataDxfId="180" dataCellStyle="Comma [0] 2"/>
    <tableColumn id="6" xr3:uid="{F4771701-F8AF-456B-A49F-3B30C18D8836}" name="Izin" dataDxfId="179" dataCellStyle="Comma [0] 2"/>
    <tableColumn id="7" xr3:uid="{5F5C250F-90BC-467B-8683-59B6291AA098}" name="Alpha" dataDxfId="178" dataCellStyle="Comma [0] 2"/>
    <tableColumn id="8" xr3:uid="{4F25464E-F21C-4F22-878D-DFEFE9D78642}" name="Lama Kerja" dataDxfId="177"/>
    <tableColumn id="9" xr3:uid="{E00AB474-1E47-4017-9E2E-73CBF9CE5956}" name="No AC" dataDxfId="176"/>
    <tableColumn id="10" xr3:uid="{3F3C7120-CC6C-4E26-9DE2-4F4B29B52C68}" name="Dept and Location" dataDxfId="175"/>
    <tableColumn id="11" xr3:uid="{D6D614E9-DDCB-472A-84CB-085363E7DD3D}" name="Tgl Resign" dataDxfId="174"/>
    <tableColumn id="12" xr3:uid="{C331C43F-5CBC-45B6-B21F-15117BA14E5F}" name="Posisi" dataDxfId="173"/>
    <tableColumn id="13" xr3:uid="{D02CBADA-C53C-4D3C-9342-B2C7429C0373}" name="Tgl Masuk" dataDxfId="172"/>
    <tableColumn id="14" xr3:uid="{0537D2AE-1916-47D4-9861-034989BABF7D}" name="Agama" dataDxfId="171"/>
    <tableColumn id="15" xr3:uid="{772E2EF3-727F-4B05-A5D9-424E98FBD235}" name="Tgl Lahir" dataDxfId="170"/>
    <tableColumn id="16" xr3:uid="{474AAC53-C38A-4949-9A66-0A94A08558CC}" name="Keterangan" dataDxfId="169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7F77F264-99D8-4CC5-8B71-1E922815578A}" name="Table10" displayName="Table10" ref="A1:E9" totalsRowShown="0" headerRowDxfId="151">
  <autoFilter ref="A1:E9" xr:uid="{2B99E72D-7214-41BA-B661-E5DE170DF3FA}"/>
  <sortState xmlns:xlrd2="http://schemas.microsoft.com/office/spreadsheetml/2017/richdata2" ref="A2:C9">
    <sortCondition descending="1" ref="A1:A9"/>
  </sortState>
  <tableColumns count="5">
    <tableColumn id="1" xr3:uid="{E9DEDCE0-9242-4BAF-9A46-4FEFED548818}" name="Kode Sales" dataDxfId="154"/>
    <tableColumn id="2" xr3:uid="{8209AE55-D2AC-4BA0-8137-67E44EBD5E7D}" name="Divisi" dataDxfId="153"/>
    <tableColumn id="3" xr3:uid="{3CEE96A8-1E13-4C27-B539-C7E808EA80F8}" name="Jabatan" dataDxfId="152"/>
    <tableColumn id="4" xr3:uid="{AA2A9ABC-684F-48D3-AAE8-D5AEF275ACFB}" name="Column1"/>
    <tableColumn id="5" xr3:uid="{1579550C-4057-4610-B272-AE38EF75DC0C}" name="ket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274B33B0-5D37-43F4-BFB3-47D8A05244E0}" name="Table9" displayName="Table9" ref="A1:J111" totalsRowShown="0" headerRowDxfId="167" dataDxfId="166" tableBorderDxfId="165" headerRowCellStyle="Normal 2">
  <autoFilter ref="A1:J111" xr:uid="{8AE7392F-C4F9-4523-8844-EB9FCBD20150}"/>
  <tableColumns count="10">
    <tableColumn id="1" xr3:uid="{BAA83E74-031D-4F09-A9EE-EFB5E34D73A3}" name="Branch" dataDxfId="164"/>
    <tableColumn id="2" xr3:uid="{2533193C-4C73-403A-95C7-344E04F1C82D}" name="Divisi" dataDxfId="163"/>
    <tableColumn id="3" xr3:uid="{E32181E2-8510-433B-A649-04A5CCC223EA}" name="Kode Sales" dataDxfId="162"/>
    <tableColumn id="4" xr3:uid="{7D1E46CE-56C7-4880-BE35-83DD8A2D7D38}" name="Januari" dataDxfId="161"/>
    <tableColumn id="5" xr3:uid="{9548884F-CCA0-453D-9CAF-8AB13EAD558A}" name="Masuk" dataDxfId="160"/>
    <tableColumn id="6" xr3:uid="{5B6CC407-55BF-48D2-809C-8369FF04FA83}" name="Keluar" dataDxfId="159"/>
    <tableColumn id="7" xr3:uid="{3D386DFE-4E3E-4DFF-B8F1-648F06F3D288}" name="NIK" dataDxfId="158"/>
    <tableColumn id="8" xr3:uid="{57AEFAB5-9DA7-4D9B-90FC-9D96D8829269}" name="No Rek" dataDxfId="157"/>
    <tableColumn id="9" xr3:uid="{0A4B4771-971A-4408-A5FD-ABD27FCD044A}" name="Data HR" dataDxfId="156">
      <calculatedColumnFormula>IFERROR(VLOOKUP(G2,'20an'!$D:$J,7,0), "Sales tidak ada di data HR")</calculatedColumnFormula>
    </tableColumn>
    <tableColumn id="10" xr3:uid="{71294DC5-6361-45FA-AA68-7EC17EA2D61F}" name="Status" dataDxfId="155">
      <calculatedColumnFormula>I2='JAN26'!$D2</calculatedColumnFormula>
    </tableColumn>
  </tableColumns>
  <tableStyleInfo name="TableStyleLight1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A3AE21C-377F-4126-BB99-781E39DC4AAF}" name="Table6" displayName="Table6" ref="A1:P5" totalsRowShown="0" headerRowDxfId="187" headerRowBorderDxfId="199" tableBorderDxfId="200">
  <autoFilter ref="A1:P5" xr:uid="{314AC685-24D7-45D3-819F-EAB3664351EA}"/>
  <tableColumns count="16">
    <tableColumn id="1" xr3:uid="{792C7686-0D11-4618-8E17-9A636737DF65}" name="St" dataDxfId="198"/>
    <tableColumn id="2" xr3:uid="{08A669EB-A96F-460F-B9D6-BDCFC470A7E6}" name="FIX" dataDxfId="197"/>
    <tableColumn id="3" xr3:uid="{8E4201D6-DC34-4B4C-B537-5F352C27110B}" name="Nu" dataDxfId="196"/>
    <tableColumn id="4" xr3:uid="{7C8EB9ED-2386-409D-A192-3759426D303A}" name="NIK" dataDxfId="195"/>
    <tableColumn id="5" xr3:uid="{CA8C4399-6890-49EE-9F24-3513DA66AF35}" name="Sakit"/>
    <tableColumn id="6" xr3:uid="{88291B24-1E99-4CEA-8BC2-5A292C61EAC1}" name="Izin"/>
    <tableColumn id="7" xr3:uid="{5917AC90-21AA-43F5-B746-30DBAF1C7E5F}" name="Alpha"/>
    <tableColumn id="8" xr3:uid="{BCC9387D-9A02-4B21-9D95-EC1BBCAFCE99}" name="Lama Kerja" dataDxfId="194">
      <calculatedColumnFormula>((YEAR(TODAY())-YEAR(M2))*12+MONTH(TODAY())-MONTH(M2))/12</calculatedColumnFormula>
    </tableColumn>
    <tableColumn id="9" xr3:uid="{8A0029B1-B5C8-4CF1-8822-E850352C027A}" name="No AC" dataDxfId="193"/>
    <tableColumn id="10" xr3:uid="{61391C7E-2326-4638-86B5-BEA6C177B6F8}" name="Dept and Location" dataDxfId="192"/>
    <tableColumn id="11" xr3:uid="{91C1591C-5D78-44E2-AB1C-BEC411776BDE}" name="Tgl Resign" dataDxfId="191"/>
    <tableColumn id="12" xr3:uid="{26F49CF0-6F78-4B61-8DCB-E6B3C33FFA3E}" name="Posisi"/>
    <tableColumn id="13" xr3:uid="{DD956A15-3791-4153-BA21-5C05CD9E9EA7}" name="Tgl Masuk" dataDxfId="190"/>
    <tableColumn id="14" xr3:uid="{56CA4E79-8CB8-4F86-98B1-6FFEF552B524}" name="Agama" dataDxfId="189"/>
    <tableColumn id="15" xr3:uid="{ADF494D6-9D99-46E5-B09E-36CB5AFF520B}" name="Tgl Lahir" dataDxfId="188"/>
    <tableColumn id="16" xr3:uid="{A43A132B-6686-43D4-8036-412D74A3D59E}" name="Keterangan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B4A946-AD88-4A97-AB24-7FDDD6673B58}">
  <dimension ref="A1:R108"/>
  <sheetViews>
    <sheetView topLeftCell="C1" zoomScaleNormal="100" zoomScaleSheetLayoutView="100" workbookViewId="0">
      <pane ySplit="1" topLeftCell="A8" activePane="bottomLeft" state="frozen"/>
      <selection pane="bottomLeft" activeCell="I98" sqref="I98"/>
    </sheetView>
  </sheetViews>
  <sheetFormatPr defaultRowHeight="15"/>
  <cols>
    <col min="1" max="1" width="6" customWidth="1"/>
    <col min="2" max="2" width="6.28515625" customWidth="1"/>
    <col min="3" max="3" width="5.7109375" customWidth="1"/>
    <col min="4" max="4" width="13.5703125" bestFit="1" customWidth="1"/>
    <col min="5" max="5" width="12.42578125" customWidth="1"/>
    <col min="6" max="6" width="10.42578125" customWidth="1"/>
    <col min="7" max="7" width="12.42578125" customWidth="1"/>
    <col min="8" max="8" width="12.7109375" customWidth="1"/>
    <col min="9" max="9" width="11.5703125" customWidth="1"/>
    <col min="10" max="10" width="28.7109375" bestFit="1" customWidth="1"/>
    <col min="11" max="11" width="12" customWidth="1"/>
    <col min="12" max="12" width="55.140625" bestFit="1" customWidth="1"/>
    <col min="13" max="13" width="12" customWidth="1"/>
    <col min="14" max="14" width="9.140625" customWidth="1"/>
    <col min="15" max="15" width="10.7109375" bestFit="1" customWidth="1"/>
    <col min="16" max="16" width="13.28515625" style="50" customWidth="1"/>
    <col min="17" max="17" width="15.5703125" customWidth="1"/>
  </cols>
  <sheetData>
    <row r="1" spans="1:17" s="106" customFormat="1" ht="16.5" customHeight="1">
      <c r="A1" s="64" t="s">
        <v>366</v>
      </c>
      <c r="B1" s="64" t="s">
        <v>367</v>
      </c>
      <c r="C1" s="64" t="s">
        <v>368</v>
      </c>
      <c r="D1" s="64" t="s">
        <v>6</v>
      </c>
      <c r="E1" s="65" t="s">
        <v>512</v>
      </c>
      <c r="F1" s="66" t="s">
        <v>513</v>
      </c>
      <c r="G1" s="66" t="s">
        <v>514</v>
      </c>
      <c r="H1" s="64" t="s">
        <v>369</v>
      </c>
      <c r="I1" s="64" t="s">
        <v>370</v>
      </c>
      <c r="J1" s="64" t="s">
        <v>371</v>
      </c>
      <c r="K1" s="67" t="s">
        <v>372</v>
      </c>
      <c r="L1" s="64" t="s">
        <v>373</v>
      </c>
      <c r="M1" s="68" t="s">
        <v>374</v>
      </c>
      <c r="N1" s="64" t="s">
        <v>375</v>
      </c>
      <c r="O1" s="67" t="s">
        <v>376</v>
      </c>
      <c r="P1" s="69" t="s">
        <v>377</v>
      </c>
      <c r="Q1" s="116" t="s">
        <v>516</v>
      </c>
    </row>
    <row r="2" spans="1:17">
      <c r="A2" s="70" t="s">
        <v>378</v>
      </c>
      <c r="B2" s="70" t="s">
        <v>379</v>
      </c>
      <c r="C2" s="70">
        <v>1</v>
      </c>
      <c r="D2" s="70" t="s">
        <v>380</v>
      </c>
      <c r="E2" s="71">
        <v>0</v>
      </c>
      <c r="F2" s="71">
        <v>0</v>
      </c>
      <c r="G2" s="71">
        <v>0</v>
      </c>
      <c r="H2" s="72">
        <f ca="1">((YEAR(TODAY())-YEAR(M2))*12+MONTH(TODAY())-MONTH(M2))/12</f>
        <v>6.25</v>
      </c>
      <c r="I2" s="73">
        <v>2801307991</v>
      </c>
      <c r="J2" s="70" t="s">
        <v>381</v>
      </c>
      <c r="K2" s="74"/>
      <c r="L2" s="70" t="s">
        <v>382</v>
      </c>
      <c r="M2" s="75">
        <v>43865</v>
      </c>
      <c r="N2" s="70" t="s">
        <v>383</v>
      </c>
      <c r="O2" s="75">
        <v>32350</v>
      </c>
      <c r="P2" s="76"/>
      <c r="Q2" t="str">
        <f>IF(COUNTIF('JAN26'!$G:$G, D2)=0, "Tidak Ada", "Ada")</f>
        <v>Tidak Ada</v>
      </c>
    </row>
    <row r="3" spans="1:17">
      <c r="A3" s="70" t="s">
        <v>378</v>
      </c>
      <c r="B3" s="70" t="s">
        <v>379</v>
      </c>
      <c r="C3" s="70">
        <v>2</v>
      </c>
      <c r="D3" s="70" t="s">
        <v>384</v>
      </c>
      <c r="E3" s="71">
        <v>0</v>
      </c>
      <c r="F3" s="71">
        <v>0</v>
      </c>
      <c r="G3" s="71">
        <v>0</v>
      </c>
      <c r="H3" s="72">
        <f ca="1">((YEAR(TODAY())-YEAR(M3))*12+MONTH(TODAY())-MONTH(M3))/12</f>
        <v>1.75</v>
      </c>
      <c r="I3" s="73" t="s">
        <v>385</v>
      </c>
      <c r="J3" s="70" t="s">
        <v>386</v>
      </c>
      <c r="K3" s="74"/>
      <c r="L3" s="70" t="s">
        <v>387</v>
      </c>
      <c r="M3" s="75">
        <v>45513</v>
      </c>
      <c r="N3" s="70" t="s">
        <v>383</v>
      </c>
      <c r="O3" s="75">
        <v>35872</v>
      </c>
      <c r="P3" s="77"/>
      <c r="Q3" t="str">
        <f>IF(COUNTIF('JAN26'!$G:$G, D3)=0, "Tidak Ada", "Ada")</f>
        <v>Tidak Ada</v>
      </c>
    </row>
    <row r="4" spans="1:17">
      <c r="A4" s="70" t="s">
        <v>378</v>
      </c>
      <c r="B4" s="70" t="s">
        <v>379</v>
      </c>
      <c r="C4" s="70">
        <v>3</v>
      </c>
      <c r="D4" s="70" t="s">
        <v>388</v>
      </c>
      <c r="E4" s="71">
        <v>1</v>
      </c>
      <c r="F4" s="71">
        <v>0</v>
      </c>
      <c r="G4" s="71">
        <v>0</v>
      </c>
      <c r="H4" s="72">
        <f ca="1">((YEAR(TODAY())-YEAR(M4))*12+MONTH(TODAY())-MONTH(M4))/12</f>
        <v>1.25</v>
      </c>
      <c r="I4" s="78" t="s">
        <v>389</v>
      </c>
      <c r="J4" s="79" t="s">
        <v>390</v>
      </c>
      <c r="K4" s="74"/>
      <c r="L4" s="70" t="s">
        <v>387</v>
      </c>
      <c r="M4" s="80">
        <v>45705</v>
      </c>
      <c r="N4" s="70" t="s">
        <v>383</v>
      </c>
      <c r="O4" s="81">
        <v>35635</v>
      </c>
      <c r="P4" s="77"/>
      <c r="Q4" t="str">
        <f>IF(COUNTIF('JAN26'!$G:$G, D4)=0, "Tidak Ada", "Ada")</f>
        <v>Tidak Ada</v>
      </c>
    </row>
    <row r="5" spans="1:17">
      <c r="A5" s="70" t="s">
        <v>378</v>
      </c>
      <c r="B5" s="70" t="s">
        <v>379</v>
      </c>
      <c r="C5" s="70">
        <v>1</v>
      </c>
      <c r="D5" s="70" t="s">
        <v>391</v>
      </c>
      <c r="E5" s="71">
        <v>0</v>
      </c>
      <c r="F5" s="71">
        <v>0</v>
      </c>
      <c r="G5" s="71">
        <v>0</v>
      </c>
      <c r="H5" s="72">
        <f ca="1">((YEAR(TODAY())-YEAR(M5))*12+MONTH(TODAY())-MONTH(M5))/12</f>
        <v>2.75</v>
      </c>
      <c r="I5" s="73" t="s">
        <v>125</v>
      </c>
      <c r="J5" s="70" t="s">
        <v>392</v>
      </c>
      <c r="K5" s="74"/>
      <c r="L5" s="70" t="s">
        <v>393</v>
      </c>
      <c r="M5" s="75">
        <v>45169</v>
      </c>
      <c r="N5" s="70" t="s">
        <v>383</v>
      </c>
      <c r="O5" s="75">
        <v>32129</v>
      </c>
      <c r="P5" s="77"/>
      <c r="Q5" t="str">
        <f>IF(COUNTIF('JAN26'!$G:$G, D5)=0, "Tidak Ada", "Ada")</f>
        <v>Ada</v>
      </c>
    </row>
    <row r="6" spans="1:17">
      <c r="A6" s="70" t="s">
        <v>378</v>
      </c>
      <c r="B6" s="70" t="s">
        <v>379</v>
      </c>
      <c r="C6" s="70">
        <v>2</v>
      </c>
      <c r="D6" s="70" t="s">
        <v>109</v>
      </c>
      <c r="E6" s="71">
        <v>0</v>
      </c>
      <c r="F6" s="71">
        <v>0</v>
      </c>
      <c r="G6" s="71">
        <v>0</v>
      </c>
      <c r="H6" s="72">
        <f ca="1">((YEAR(TODAY())-YEAR(M6))*12+MONTH(TODAY())-MONTH(M6))/12</f>
        <v>4.666666666666667</v>
      </c>
      <c r="I6" s="73">
        <v>2831290783</v>
      </c>
      <c r="J6" s="70" t="s">
        <v>108</v>
      </c>
      <c r="K6" s="74"/>
      <c r="L6" s="70" t="s">
        <v>394</v>
      </c>
      <c r="M6" s="75">
        <v>44460</v>
      </c>
      <c r="N6" s="70" t="s">
        <v>383</v>
      </c>
      <c r="O6" s="75">
        <v>34894</v>
      </c>
      <c r="P6" s="77"/>
      <c r="Q6" t="str">
        <f>IF(COUNTIF('JAN26'!$G:$G, D6)=0, "Tidak Ada", "Ada")</f>
        <v>Ada</v>
      </c>
    </row>
    <row r="7" spans="1:17">
      <c r="A7" s="70" t="s">
        <v>378</v>
      </c>
      <c r="B7" s="70" t="s">
        <v>379</v>
      </c>
      <c r="C7" s="70">
        <v>3</v>
      </c>
      <c r="D7" s="70" t="s">
        <v>105</v>
      </c>
      <c r="E7" s="71">
        <v>1</v>
      </c>
      <c r="F7" s="71">
        <v>0</v>
      </c>
      <c r="G7" s="71">
        <v>0</v>
      </c>
      <c r="H7" s="72">
        <f t="shared" ref="H7:H14" ca="1" si="0">((YEAR(TODAY())-YEAR(M7))*12+MONTH(TODAY())-MONTH(M7))/12</f>
        <v>3.5833333333333335</v>
      </c>
      <c r="I7" s="78" t="s">
        <v>106</v>
      </c>
      <c r="J7" s="70" t="s">
        <v>104</v>
      </c>
      <c r="K7" s="74"/>
      <c r="L7" s="70" t="s">
        <v>394</v>
      </c>
      <c r="M7" s="75">
        <v>44858</v>
      </c>
      <c r="N7" s="70" t="s">
        <v>383</v>
      </c>
      <c r="O7" s="75">
        <v>34577</v>
      </c>
      <c r="P7" s="77"/>
      <c r="Q7" t="str">
        <f>IF(COUNTIF('JAN26'!$G:$G, D7)=0, "Tidak Ada", "Ada")</f>
        <v>Ada</v>
      </c>
    </row>
    <row r="8" spans="1:17">
      <c r="A8" s="70" t="s">
        <v>378</v>
      </c>
      <c r="B8" s="70" t="s">
        <v>379</v>
      </c>
      <c r="C8" s="70">
        <v>4</v>
      </c>
      <c r="D8" s="70" t="s">
        <v>101</v>
      </c>
      <c r="E8" s="71">
        <v>0</v>
      </c>
      <c r="F8" s="71">
        <v>0</v>
      </c>
      <c r="G8" s="71">
        <v>0</v>
      </c>
      <c r="H8" s="72">
        <f t="shared" ca="1" si="0"/>
        <v>1.1666666666666667</v>
      </c>
      <c r="I8" s="78" t="s">
        <v>102</v>
      </c>
      <c r="J8" s="70" t="s">
        <v>395</v>
      </c>
      <c r="K8" s="74"/>
      <c r="L8" s="70" t="s">
        <v>394</v>
      </c>
      <c r="M8" s="82">
        <v>45727</v>
      </c>
      <c r="N8" s="70" t="s">
        <v>383</v>
      </c>
      <c r="O8" s="75">
        <v>34391</v>
      </c>
      <c r="P8" s="77"/>
      <c r="Q8" t="str">
        <f>IF(COUNTIF('JAN26'!$G:$G, D8)=0, "Tidak Ada", "Ada")</f>
        <v>Ada</v>
      </c>
    </row>
    <row r="9" spans="1:17">
      <c r="A9" s="70" t="s">
        <v>378</v>
      </c>
      <c r="B9" s="70" t="s">
        <v>379</v>
      </c>
      <c r="C9" s="70">
        <v>5</v>
      </c>
      <c r="D9" s="70" t="s">
        <v>96</v>
      </c>
      <c r="E9" s="71">
        <v>0</v>
      </c>
      <c r="F9" s="71">
        <v>0</v>
      </c>
      <c r="G9" s="71">
        <v>0</v>
      </c>
      <c r="H9" s="72">
        <f t="shared" ca="1" si="0"/>
        <v>1.1666666666666667</v>
      </c>
      <c r="I9" s="78" t="s">
        <v>97</v>
      </c>
      <c r="J9" s="70" t="s">
        <v>396</v>
      </c>
      <c r="K9" s="74"/>
      <c r="L9" s="70" t="s">
        <v>394</v>
      </c>
      <c r="M9" s="82">
        <v>45727</v>
      </c>
      <c r="N9" s="70" t="s">
        <v>383</v>
      </c>
      <c r="O9" s="75">
        <v>35744</v>
      </c>
      <c r="P9" s="77"/>
      <c r="Q9" t="str">
        <f>IF(COUNTIF('JAN26'!$G:$G, D9)=0, "Tidak Ada", "Ada")</f>
        <v>Ada</v>
      </c>
    </row>
    <row r="10" spans="1:17">
      <c r="A10" s="70" t="s">
        <v>378</v>
      </c>
      <c r="B10" s="70" t="s">
        <v>379</v>
      </c>
      <c r="C10" s="70">
        <v>6</v>
      </c>
      <c r="D10" s="70" t="s">
        <v>116</v>
      </c>
      <c r="E10" s="71">
        <v>0</v>
      </c>
      <c r="F10" s="71">
        <v>0</v>
      </c>
      <c r="G10" s="71">
        <v>1</v>
      </c>
      <c r="H10" s="72">
        <f t="shared" ca="1" si="0"/>
        <v>1</v>
      </c>
      <c r="I10" s="78" t="s">
        <v>117</v>
      </c>
      <c r="J10" s="70" t="s">
        <v>397</v>
      </c>
      <c r="K10" s="74">
        <v>46091</v>
      </c>
      <c r="L10" s="70" t="s">
        <v>394</v>
      </c>
      <c r="M10" s="82">
        <v>45792</v>
      </c>
      <c r="N10" s="70" t="s">
        <v>383</v>
      </c>
      <c r="O10" s="75">
        <v>32585</v>
      </c>
      <c r="P10" s="83"/>
      <c r="Q10" t="str">
        <f>IF(COUNTIF('JAN26'!$G:$G, D10)=0, "Tidak Ada", "Ada")</f>
        <v>Ada</v>
      </c>
    </row>
    <row r="11" spans="1:17">
      <c r="A11" s="70" t="s">
        <v>378</v>
      </c>
      <c r="B11" s="70" t="s">
        <v>379</v>
      </c>
      <c r="C11" s="70">
        <v>7</v>
      </c>
      <c r="D11" s="70" t="s">
        <v>112</v>
      </c>
      <c r="E11" s="71">
        <v>0</v>
      </c>
      <c r="F11" s="71">
        <v>3</v>
      </c>
      <c r="G11" s="71">
        <v>0</v>
      </c>
      <c r="H11" s="72">
        <f ca="1">((YEAR(TODAY())-YEAR(M11))*12+MONTH(TODAY())-MONTH(M11))/12</f>
        <v>0.75</v>
      </c>
      <c r="I11" s="78" t="s">
        <v>113</v>
      </c>
      <c r="J11" s="70" t="s">
        <v>398</v>
      </c>
      <c r="K11" s="74"/>
      <c r="L11" s="70" t="s">
        <v>394</v>
      </c>
      <c r="M11" s="75">
        <v>45887</v>
      </c>
      <c r="N11" s="70" t="s">
        <v>383</v>
      </c>
      <c r="O11" s="80">
        <v>34699</v>
      </c>
      <c r="P11" s="84"/>
      <c r="Q11" t="str">
        <f>IF(COUNTIF('JAN26'!$G:$G, D11)=0, "Tidak Ada", "Ada")</f>
        <v>Ada</v>
      </c>
    </row>
    <row r="12" spans="1:17">
      <c r="A12" s="70" t="s">
        <v>378</v>
      </c>
      <c r="B12" s="70" t="s">
        <v>379</v>
      </c>
      <c r="C12" s="70">
        <v>8</v>
      </c>
      <c r="D12" s="85" t="s">
        <v>87</v>
      </c>
      <c r="E12" s="71">
        <v>0</v>
      </c>
      <c r="F12" s="71">
        <v>0</v>
      </c>
      <c r="G12" s="71">
        <v>0</v>
      </c>
      <c r="H12" s="72">
        <f ca="1">((YEAR(TODAY())-YEAR(M12))*12+MONTH(TODAY())-MONTH(M12))/12</f>
        <v>0.75</v>
      </c>
      <c r="I12" s="85" t="s">
        <v>88</v>
      </c>
      <c r="J12" s="70" t="s">
        <v>399</v>
      </c>
      <c r="K12" s="74"/>
      <c r="L12" s="70" t="s">
        <v>394</v>
      </c>
      <c r="M12" s="80">
        <v>45896</v>
      </c>
      <c r="N12" s="70" t="s">
        <v>383</v>
      </c>
      <c r="O12" s="80">
        <v>30738</v>
      </c>
      <c r="P12" s="77"/>
      <c r="Q12" t="str">
        <f>IF(COUNTIF('JAN26'!$G:$G, D12)=0, "Tidak Ada", "Ada")</f>
        <v>Ada</v>
      </c>
    </row>
    <row r="13" spans="1:17">
      <c r="A13" s="70" t="s">
        <v>378</v>
      </c>
      <c r="B13" s="70" t="s">
        <v>379</v>
      </c>
      <c r="C13" s="70">
        <v>9</v>
      </c>
      <c r="D13" s="70" t="s">
        <v>91</v>
      </c>
      <c r="E13" s="71">
        <v>0</v>
      </c>
      <c r="F13" s="71">
        <v>0</v>
      </c>
      <c r="G13" s="71">
        <v>0</v>
      </c>
      <c r="H13" s="72">
        <f t="shared" ca="1" si="0"/>
        <v>0.66666666666666663</v>
      </c>
      <c r="I13" s="78" t="s">
        <v>92</v>
      </c>
      <c r="J13" s="70" t="s">
        <v>90</v>
      </c>
      <c r="K13" s="70"/>
      <c r="L13" s="70" t="s">
        <v>394</v>
      </c>
      <c r="M13" s="86">
        <v>45904</v>
      </c>
      <c r="N13" s="70" t="s">
        <v>383</v>
      </c>
      <c r="O13" s="86">
        <v>29291</v>
      </c>
      <c r="P13" s="77"/>
      <c r="Q13" t="str">
        <f>IF(COUNTIF('JAN26'!$G:$G, D13)=0, "Tidak Ada", "Ada")</f>
        <v>Ada</v>
      </c>
    </row>
    <row r="14" spans="1:17">
      <c r="A14" s="70" t="s">
        <v>378</v>
      </c>
      <c r="B14" s="70" t="s">
        <v>379</v>
      </c>
      <c r="C14" s="70">
        <v>10</v>
      </c>
      <c r="D14" s="70" t="s">
        <v>128</v>
      </c>
      <c r="E14" s="71">
        <v>0</v>
      </c>
      <c r="F14" s="71">
        <v>0</v>
      </c>
      <c r="G14" s="71">
        <v>0</v>
      </c>
      <c r="H14" s="72">
        <f t="shared" ca="1" si="0"/>
        <v>0.41666666666666669</v>
      </c>
      <c r="I14" s="70">
        <v>8090609018</v>
      </c>
      <c r="J14" s="70" t="s">
        <v>400</v>
      </c>
      <c r="K14" s="70"/>
      <c r="L14" s="70" t="s">
        <v>393</v>
      </c>
      <c r="M14" s="86">
        <v>46000</v>
      </c>
      <c r="N14" s="70" t="s">
        <v>383</v>
      </c>
      <c r="O14" s="86">
        <v>33910</v>
      </c>
      <c r="P14" s="84"/>
      <c r="Q14" t="str">
        <f>IF(COUNTIF('JAN26'!$G:$G, D14)=0, "Tidak Ada", "Ada")</f>
        <v>Ada</v>
      </c>
    </row>
    <row r="15" spans="1:17">
      <c r="A15" s="70" t="s">
        <v>378</v>
      </c>
      <c r="B15" s="70" t="s">
        <v>379</v>
      </c>
      <c r="C15" s="70">
        <v>1</v>
      </c>
      <c r="D15" s="70" t="s">
        <v>401</v>
      </c>
      <c r="E15" s="71">
        <v>0</v>
      </c>
      <c r="F15" s="71">
        <v>0</v>
      </c>
      <c r="G15" s="71">
        <v>0</v>
      </c>
      <c r="H15" s="72">
        <f t="shared" ref="H15:H19" ca="1" si="1">((YEAR(TODAY())-YEAR(M15))*12+MONTH(TODAY())-MONTH(M15))/12</f>
        <v>4</v>
      </c>
      <c r="I15" s="73">
        <v>2810384045</v>
      </c>
      <c r="J15" s="70" t="s">
        <v>21</v>
      </c>
      <c r="K15" s="74"/>
      <c r="L15" s="87" t="s">
        <v>402</v>
      </c>
      <c r="M15" s="75">
        <v>44704</v>
      </c>
      <c r="N15" s="70" t="s">
        <v>383</v>
      </c>
      <c r="O15" s="75">
        <v>31148</v>
      </c>
      <c r="P15" s="77"/>
      <c r="Q15" t="str">
        <f>IF(COUNTIF('JAN26'!$G:$G, D15)=0, "Tidak Ada", "Ada")</f>
        <v>Ada</v>
      </c>
    </row>
    <row r="16" spans="1:17">
      <c r="A16" s="70" t="s">
        <v>378</v>
      </c>
      <c r="B16" s="70" t="s">
        <v>379</v>
      </c>
      <c r="C16" s="70">
        <v>2</v>
      </c>
      <c r="D16" s="88" t="s">
        <v>403</v>
      </c>
      <c r="E16" s="89">
        <v>0</v>
      </c>
      <c r="F16" s="89">
        <v>0</v>
      </c>
      <c r="G16" s="89">
        <v>0</v>
      </c>
      <c r="H16" s="72">
        <f t="shared" ca="1" si="1"/>
        <v>1.75</v>
      </c>
      <c r="I16" s="78">
        <v>7940315390</v>
      </c>
      <c r="J16" s="79" t="s">
        <v>15</v>
      </c>
      <c r="K16" s="74"/>
      <c r="L16" s="87" t="s">
        <v>402</v>
      </c>
      <c r="M16" s="80">
        <v>45533</v>
      </c>
      <c r="N16" s="70" t="s">
        <v>383</v>
      </c>
      <c r="O16" s="80">
        <v>36568</v>
      </c>
      <c r="P16" s="77"/>
      <c r="Q16" t="str">
        <f>IF(COUNTIF('JAN26'!$G:$G, D16)=0, "Tidak Ada", "Ada")</f>
        <v>Ada</v>
      </c>
    </row>
    <row r="17" spans="1:17">
      <c r="A17" s="70" t="s">
        <v>378</v>
      </c>
      <c r="B17" s="70" t="s">
        <v>379</v>
      </c>
      <c r="C17" s="70">
        <v>3</v>
      </c>
      <c r="D17" s="88" t="s">
        <v>404</v>
      </c>
      <c r="E17" s="89">
        <v>0</v>
      </c>
      <c r="F17" s="89">
        <v>0</v>
      </c>
      <c r="G17" s="89">
        <v>0</v>
      </c>
      <c r="H17" s="72">
        <f t="shared" ca="1" si="1"/>
        <v>1.4166666666666667</v>
      </c>
      <c r="I17" s="78" t="s">
        <v>405</v>
      </c>
      <c r="J17" s="79" t="s">
        <v>17</v>
      </c>
      <c r="K17" s="74"/>
      <c r="L17" s="87" t="s">
        <v>402</v>
      </c>
      <c r="M17" s="80">
        <v>45628</v>
      </c>
      <c r="N17" s="70" t="s">
        <v>383</v>
      </c>
      <c r="O17" s="80">
        <v>33840</v>
      </c>
      <c r="P17" s="77"/>
      <c r="Q17" t="str">
        <f>IF(COUNTIF('JAN26'!$G:$G, D17)=0, "Tidak Ada", "Ada")</f>
        <v>Ada</v>
      </c>
    </row>
    <row r="18" spans="1:17">
      <c r="A18" s="70" t="s">
        <v>378</v>
      </c>
      <c r="B18" s="70" t="s">
        <v>379</v>
      </c>
      <c r="C18" s="70">
        <v>4</v>
      </c>
      <c r="D18" s="70" t="s">
        <v>406</v>
      </c>
      <c r="E18" s="89">
        <v>0</v>
      </c>
      <c r="F18" s="89">
        <v>0</v>
      </c>
      <c r="G18" s="89">
        <v>1</v>
      </c>
      <c r="H18" s="72">
        <f t="shared" ca="1" si="1"/>
        <v>0.41666666666666669</v>
      </c>
      <c r="I18" s="78" t="s">
        <v>407</v>
      </c>
      <c r="J18" s="70" t="s">
        <v>408</v>
      </c>
      <c r="K18" s="74"/>
      <c r="L18" s="87" t="s">
        <v>402</v>
      </c>
      <c r="M18" s="86">
        <v>46000</v>
      </c>
      <c r="N18" s="70" t="s">
        <v>383</v>
      </c>
      <c r="O18" s="86">
        <v>34636</v>
      </c>
      <c r="P18" s="77"/>
      <c r="Q18" t="str">
        <f>IF(COUNTIF('JAN26'!$G:$G, D18)=0, "Tidak Ada", "Ada")</f>
        <v>Ada</v>
      </c>
    </row>
    <row r="19" spans="1:17">
      <c r="A19" s="70" t="s">
        <v>378</v>
      </c>
      <c r="B19" s="70" t="s">
        <v>379</v>
      </c>
      <c r="C19" s="70">
        <v>5</v>
      </c>
      <c r="D19" s="70" t="s">
        <v>409</v>
      </c>
      <c r="E19" s="89">
        <v>0</v>
      </c>
      <c r="F19" s="89">
        <v>5</v>
      </c>
      <c r="G19" s="89">
        <v>0</v>
      </c>
      <c r="H19" s="72">
        <f t="shared" ca="1" si="1"/>
        <v>0.41666666666666669</v>
      </c>
      <c r="I19" s="78" t="s">
        <v>410</v>
      </c>
      <c r="J19" s="70" t="s">
        <v>411</v>
      </c>
      <c r="K19" s="74"/>
      <c r="L19" s="87" t="s">
        <v>402</v>
      </c>
      <c r="M19" s="86">
        <v>46006</v>
      </c>
      <c r="N19" s="70" t="s">
        <v>383</v>
      </c>
      <c r="O19" s="86">
        <v>36032</v>
      </c>
      <c r="P19" s="77"/>
      <c r="Q19" t="str">
        <f>IF(COUNTIF('JAN26'!$G:$G, D19)=0, "Tidak Ada", "Ada")</f>
        <v>Ada</v>
      </c>
    </row>
    <row r="20" spans="1:17">
      <c r="A20" s="70" t="s">
        <v>378</v>
      </c>
      <c r="B20" s="70" t="s">
        <v>379</v>
      </c>
      <c r="C20" s="70">
        <v>1</v>
      </c>
      <c r="D20" s="70" t="s">
        <v>412</v>
      </c>
      <c r="E20" s="71">
        <v>0</v>
      </c>
      <c r="F20" s="71">
        <v>0</v>
      </c>
      <c r="G20" s="71">
        <v>0</v>
      </c>
      <c r="H20" s="72">
        <f t="shared" ref="H20:H25" ca="1" si="2">((YEAR(TODAY())-YEAR(M20))*12+MONTH(TODAY())-MONTH(M20))/12</f>
        <v>5.416666666666667</v>
      </c>
      <c r="I20" s="73" t="s">
        <v>413</v>
      </c>
      <c r="J20" s="70" t="s">
        <v>414</v>
      </c>
      <c r="K20" s="74">
        <v>46125</v>
      </c>
      <c r="L20" s="70" t="s">
        <v>415</v>
      </c>
      <c r="M20" s="75">
        <v>44172</v>
      </c>
      <c r="N20" s="70" t="s">
        <v>383</v>
      </c>
      <c r="O20" s="75">
        <v>31221</v>
      </c>
      <c r="P20" s="77" t="s">
        <v>416</v>
      </c>
      <c r="Q20" t="str">
        <f>IF(COUNTIF('JAN26'!$G:$G, D20)=0, "Tidak Ada", "Ada")</f>
        <v>Ada</v>
      </c>
    </row>
    <row r="21" spans="1:17">
      <c r="A21" s="70" t="s">
        <v>378</v>
      </c>
      <c r="B21" s="70" t="s">
        <v>379</v>
      </c>
      <c r="C21" s="70">
        <v>2</v>
      </c>
      <c r="D21" s="70" t="s">
        <v>53</v>
      </c>
      <c r="E21" s="71">
        <v>0</v>
      </c>
      <c r="F21" s="71">
        <v>0</v>
      </c>
      <c r="G21" s="71">
        <v>0</v>
      </c>
      <c r="H21" s="72">
        <f t="shared" ca="1" si="2"/>
        <v>2.25</v>
      </c>
      <c r="I21" s="78" t="s">
        <v>54</v>
      </c>
      <c r="J21" s="79" t="s">
        <v>52</v>
      </c>
      <c r="K21" s="74"/>
      <c r="L21" s="70" t="s">
        <v>417</v>
      </c>
      <c r="M21" s="82">
        <v>45334</v>
      </c>
      <c r="N21" s="70" t="s">
        <v>383</v>
      </c>
      <c r="O21" s="75">
        <v>32768</v>
      </c>
      <c r="P21" s="77"/>
      <c r="Q21" t="str">
        <f>IF(COUNTIF('JAN26'!$G:$G, D21)=0, "Tidak Ada", "Ada")</f>
        <v>Ada</v>
      </c>
    </row>
    <row r="22" spans="1:17">
      <c r="A22" s="70" t="s">
        <v>378</v>
      </c>
      <c r="B22" s="70" t="s">
        <v>379</v>
      </c>
      <c r="C22" s="70">
        <v>3</v>
      </c>
      <c r="D22" s="70" t="s">
        <v>65</v>
      </c>
      <c r="E22" s="71">
        <v>0</v>
      </c>
      <c r="F22" s="71">
        <v>0</v>
      </c>
      <c r="G22" s="71">
        <v>2</v>
      </c>
      <c r="H22" s="72">
        <f t="shared" ca="1" si="2"/>
        <v>1.8333333333333333</v>
      </c>
      <c r="I22" s="78" t="s">
        <v>66</v>
      </c>
      <c r="J22" s="79" t="s">
        <v>64</v>
      </c>
      <c r="K22" s="74"/>
      <c r="L22" s="70" t="s">
        <v>417</v>
      </c>
      <c r="M22" s="82">
        <v>45481</v>
      </c>
      <c r="N22" s="70" t="s">
        <v>383</v>
      </c>
      <c r="O22" s="75">
        <v>35959</v>
      </c>
      <c r="P22" s="77"/>
      <c r="Q22" t="str">
        <f>IF(COUNTIF('JAN26'!$G:$G, D22)=0, "Tidak Ada", "Ada")</f>
        <v>Ada</v>
      </c>
    </row>
    <row r="23" spans="1:17">
      <c r="A23" s="70" t="s">
        <v>378</v>
      </c>
      <c r="B23" s="70" t="s">
        <v>379</v>
      </c>
      <c r="C23" s="70">
        <v>4</v>
      </c>
      <c r="D23" s="70" t="s">
        <v>72</v>
      </c>
      <c r="E23" s="71">
        <v>0</v>
      </c>
      <c r="F23" s="71">
        <v>0</v>
      </c>
      <c r="G23" s="71">
        <v>0</v>
      </c>
      <c r="H23" s="72">
        <f t="shared" ca="1" si="2"/>
        <v>1.25</v>
      </c>
      <c r="I23" s="78" t="s">
        <v>73</v>
      </c>
      <c r="J23" s="79" t="s">
        <v>71</v>
      </c>
      <c r="K23" s="74"/>
      <c r="L23" s="70" t="s">
        <v>417</v>
      </c>
      <c r="M23" s="82">
        <v>45713</v>
      </c>
      <c r="N23" s="70" t="s">
        <v>383</v>
      </c>
      <c r="O23" s="75">
        <v>35233</v>
      </c>
      <c r="P23" s="77"/>
      <c r="Q23" t="str">
        <f>IF(COUNTIF('JAN26'!$G:$G, D23)=0, "Tidak Ada", "Ada")</f>
        <v>Ada</v>
      </c>
    </row>
    <row r="24" spans="1:17">
      <c r="A24" s="70" t="s">
        <v>378</v>
      </c>
      <c r="B24" s="70" t="s">
        <v>379</v>
      </c>
      <c r="C24" s="70">
        <v>5</v>
      </c>
      <c r="D24" s="70" t="s">
        <v>80</v>
      </c>
      <c r="E24" s="71">
        <v>0</v>
      </c>
      <c r="F24" s="71">
        <v>0</v>
      </c>
      <c r="G24" s="71">
        <v>0</v>
      </c>
      <c r="H24" s="72">
        <f t="shared" ca="1" si="2"/>
        <v>0.91666666666666663</v>
      </c>
      <c r="I24" s="78" t="s">
        <v>418</v>
      </c>
      <c r="J24" s="79" t="s">
        <v>79</v>
      </c>
      <c r="K24" s="74">
        <v>46111</v>
      </c>
      <c r="L24" s="70" t="s">
        <v>417</v>
      </c>
      <c r="M24" s="82">
        <v>45838</v>
      </c>
      <c r="N24" s="70" t="s">
        <v>419</v>
      </c>
      <c r="O24" s="75">
        <v>37450</v>
      </c>
      <c r="P24" s="77"/>
      <c r="Q24" t="str">
        <f>IF(COUNTIF('JAN26'!$G:$G, D24)=0, "Tidak Ada", "Ada")</f>
        <v>Ada</v>
      </c>
    </row>
    <row r="25" spans="1:17">
      <c r="A25" s="70" t="s">
        <v>378</v>
      </c>
      <c r="B25" s="70" t="s">
        <v>379</v>
      </c>
      <c r="C25" s="70">
        <v>6</v>
      </c>
      <c r="D25" s="70" t="s">
        <v>69</v>
      </c>
      <c r="E25" s="71">
        <v>0</v>
      </c>
      <c r="F25" s="71">
        <v>0</v>
      </c>
      <c r="G25" s="71">
        <v>0</v>
      </c>
      <c r="H25" s="72">
        <f t="shared" ca="1" si="2"/>
        <v>4.833333333333333</v>
      </c>
      <c r="I25" s="78">
        <v>2830811802</v>
      </c>
      <c r="J25" s="79" t="s">
        <v>420</v>
      </c>
      <c r="K25" s="74"/>
      <c r="L25" s="70" t="s">
        <v>417</v>
      </c>
      <c r="M25" s="82">
        <v>44403</v>
      </c>
      <c r="N25" s="70" t="s">
        <v>383</v>
      </c>
      <c r="O25" s="75">
        <v>32155</v>
      </c>
      <c r="P25" s="77"/>
      <c r="Q25" t="str">
        <f>IF(COUNTIF('JAN26'!$G:$G, D25)=0, "Tidak Ada", "Ada")</f>
        <v>Ada</v>
      </c>
    </row>
    <row r="26" spans="1:17">
      <c r="A26" s="70" t="s">
        <v>378</v>
      </c>
      <c r="B26" s="70" t="s">
        <v>379</v>
      </c>
      <c r="C26" s="70">
        <v>8</v>
      </c>
      <c r="D26" s="70" t="s">
        <v>57</v>
      </c>
      <c r="E26" s="71">
        <v>0</v>
      </c>
      <c r="F26" s="71">
        <v>0</v>
      </c>
      <c r="G26" s="71">
        <v>0</v>
      </c>
      <c r="H26" s="72">
        <f ca="1">((YEAR(TODAY())-YEAR(M26))*12+MONTH(TODAY())-MONTH(M26))/12</f>
        <v>0.5</v>
      </c>
      <c r="I26" s="78" t="s">
        <v>58</v>
      </c>
      <c r="J26" s="79" t="s">
        <v>421</v>
      </c>
      <c r="K26" s="74"/>
      <c r="L26" s="70" t="s">
        <v>417</v>
      </c>
      <c r="M26" s="82">
        <v>45978</v>
      </c>
      <c r="N26" s="70" t="s">
        <v>383</v>
      </c>
      <c r="O26" s="80">
        <v>31614</v>
      </c>
      <c r="P26" s="77"/>
      <c r="Q26" t="str">
        <f>IF(COUNTIF('JAN26'!$G:$G, D26)=0, "Tidak Ada", "Ada")</f>
        <v>Ada</v>
      </c>
    </row>
    <row r="27" spans="1:17">
      <c r="A27" s="70" t="s">
        <v>378</v>
      </c>
      <c r="B27" s="70" t="s">
        <v>379</v>
      </c>
      <c r="C27" s="70">
        <v>9</v>
      </c>
      <c r="D27" s="70" t="s">
        <v>76</v>
      </c>
      <c r="E27" s="71">
        <v>0</v>
      </c>
      <c r="F27" s="71">
        <v>0</v>
      </c>
      <c r="G27" s="71">
        <v>0</v>
      </c>
      <c r="H27" s="72">
        <f ca="1">((YEAR(TODAY())-YEAR(M27))*12+MONTH(TODAY())-MONTH(M27))/12</f>
        <v>0.5</v>
      </c>
      <c r="I27" s="78" t="s">
        <v>77</v>
      </c>
      <c r="J27" s="79" t="s">
        <v>422</v>
      </c>
      <c r="K27" s="74"/>
      <c r="L27" s="70" t="s">
        <v>417</v>
      </c>
      <c r="M27" s="82">
        <v>45979</v>
      </c>
      <c r="N27" s="70" t="s">
        <v>383</v>
      </c>
      <c r="O27" s="80">
        <v>31274</v>
      </c>
      <c r="P27" s="77"/>
      <c r="Q27" t="str">
        <f>IF(COUNTIF('JAN26'!$G:$G, D27)=0, "Tidak Ada", "Ada")</f>
        <v>Ada</v>
      </c>
    </row>
    <row r="28" spans="1:17">
      <c r="A28" s="70" t="s">
        <v>378</v>
      </c>
      <c r="B28" s="70" t="s">
        <v>379</v>
      </c>
      <c r="C28" s="70">
        <v>1</v>
      </c>
      <c r="D28" s="70" t="s">
        <v>40</v>
      </c>
      <c r="E28" s="71">
        <v>0</v>
      </c>
      <c r="F28" s="71">
        <v>0</v>
      </c>
      <c r="G28" s="71">
        <v>0</v>
      </c>
      <c r="H28" s="72">
        <f ca="1">((YEAR(TODAY())-YEAR(M28))*12+MONTH(TODAY())-MONTH(M28))/12</f>
        <v>4.5</v>
      </c>
      <c r="I28" s="73">
        <v>2830825579</v>
      </c>
      <c r="J28" s="70" t="s">
        <v>39</v>
      </c>
      <c r="K28" s="74"/>
      <c r="L28" s="70" t="s">
        <v>423</v>
      </c>
      <c r="M28" s="75">
        <v>44525</v>
      </c>
      <c r="N28" s="70" t="s">
        <v>383</v>
      </c>
      <c r="O28" s="75">
        <v>27249</v>
      </c>
      <c r="P28" s="77"/>
      <c r="Q28" t="str">
        <f>IF(COUNTIF('JAN26'!$G:$G, D28)=0, "Tidak Ada", "Ada")</f>
        <v>Ada</v>
      </c>
    </row>
    <row r="29" spans="1:17">
      <c r="A29" s="70" t="s">
        <v>378</v>
      </c>
      <c r="B29" s="70" t="s">
        <v>379</v>
      </c>
      <c r="C29" s="70">
        <v>2</v>
      </c>
      <c r="D29" s="70" t="s">
        <v>33</v>
      </c>
      <c r="E29" s="71">
        <v>0</v>
      </c>
      <c r="F29" s="71">
        <v>0</v>
      </c>
      <c r="G29" s="71">
        <v>0</v>
      </c>
      <c r="H29" s="72">
        <f t="shared" ref="H29:H33" ca="1" si="3">((YEAR(TODAY())-YEAR(M29))*12+MONTH(TODAY())-MONTH(M29))/12</f>
        <v>4.333333333333333</v>
      </c>
      <c r="I29" s="73">
        <v>1393356867</v>
      </c>
      <c r="J29" s="70" t="s">
        <v>32</v>
      </c>
      <c r="K29" s="74">
        <v>46055</v>
      </c>
      <c r="L29" s="70" t="s">
        <v>423</v>
      </c>
      <c r="M29" s="75">
        <v>44572</v>
      </c>
      <c r="N29" s="70" t="s">
        <v>383</v>
      </c>
      <c r="O29" s="75">
        <v>29884</v>
      </c>
      <c r="P29" s="77"/>
      <c r="Q29" t="str">
        <f>IF(COUNTIF('JAN26'!$G:$G, D29)=0, "Tidak Ada", "Ada")</f>
        <v>Ada</v>
      </c>
    </row>
    <row r="30" spans="1:17">
      <c r="A30" s="70" t="s">
        <v>378</v>
      </c>
      <c r="B30" s="70" t="s">
        <v>379</v>
      </c>
      <c r="C30" s="70">
        <v>3</v>
      </c>
      <c r="D30" s="70" t="s">
        <v>36</v>
      </c>
      <c r="E30" s="71">
        <v>0</v>
      </c>
      <c r="F30" s="71">
        <v>0</v>
      </c>
      <c r="G30" s="71">
        <v>0</v>
      </c>
      <c r="H30" s="72">
        <f t="shared" ca="1" si="3"/>
        <v>4.416666666666667</v>
      </c>
      <c r="I30" s="73">
        <v>1393317101</v>
      </c>
      <c r="J30" s="70" t="s">
        <v>35</v>
      </c>
      <c r="K30" s="74"/>
      <c r="L30" s="70" t="s">
        <v>424</v>
      </c>
      <c r="M30" s="75">
        <v>44533</v>
      </c>
      <c r="N30" s="70" t="s">
        <v>383</v>
      </c>
      <c r="O30" s="75">
        <v>32685</v>
      </c>
      <c r="P30" s="77"/>
      <c r="Q30" t="str">
        <f>IF(COUNTIF('JAN26'!$G:$G, D30)=0, "Tidak Ada", "Ada")</f>
        <v>Ada</v>
      </c>
    </row>
    <row r="31" spans="1:17">
      <c r="A31" s="70" t="s">
        <v>378</v>
      </c>
      <c r="B31" s="70" t="s">
        <v>379</v>
      </c>
      <c r="C31" s="70">
        <v>4</v>
      </c>
      <c r="D31" s="70" t="s">
        <v>48</v>
      </c>
      <c r="E31" s="71">
        <v>0</v>
      </c>
      <c r="F31" s="71">
        <v>0</v>
      </c>
      <c r="G31" s="71">
        <v>0</v>
      </c>
      <c r="H31" s="72">
        <f t="shared" ca="1" si="3"/>
        <v>4.333333333333333</v>
      </c>
      <c r="I31" s="73">
        <v>1760203960</v>
      </c>
      <c r="J31" s="70" t="s">
        <v>47</v>
      </c>
      <c r="K31" s="74"/>
      <c r="L31" s="70" t="s">
        <v>423</v>
      </c>
      <c r="M31" s="75">
        <v>44572</v>
      </c>
      <c r="N31" s="70" t="s">
        <v>383</v>
      </c>
      <c r="O31" s="75">
        <v>32726</v>
      </c>
      <c r="P31" s="77"/>
      <c r="Q31" t="str">
        <f>IF(COUNTIF('JAN26'!$G:$G, D31)=0, "Tidak Ada", "Ada")</f>
        <v>Ada</v>
      </c>
    </row>
    <row r="32" spans="1:17">
      <c r="A32" s="70" t="s">
        <v>378</v>
      </c>
      <c r="B32" s="70" t="s">
        <v>379</v>
      </c>
      <c r="C32" s="70">
        <v>5</v>
      </c>
      <c r="D32" s="70" t="s">
        <v>44</v>
      </c>
      <c r="E32" s="71">
        <v>0</v>
      </c>
      <c r="F32" s="71">
        <v>0</v>
      </c>
      <c r="G32" s="71">
        <v>0</v>
      </c>
      <c r="H32" s="72">
        <f t="shared" ca="1" si="3"/>
        <v>3.9166666666666665</v>
      </c>
      <c r="I32" s="73">
        <v>4372932876</v>
      </c>
      <c r="J32" s="70" t="s">
        <v>43</v>
      </c>
      <c r="K32" s="74"/>
      <c r="L32" s="70" t="s">
        <v>425</v>
      </c>
      <c r="M32" s="75">
        <v>44732</v>
      </c>
      <c r="N32" s="70" t="s">
        <v>383</v>
      </c>
      <c r="O32" s="75">
        <v>29884</v>
      </c>
      <c r="P32" s="77"/>
      <c r="Q32" t="str">
        <f>IF(COUNTIF('JAN26'!$G:$G, D32)=0, "Tidak Ada", "Ada")</f>
        <v>Ada</v>
      </c>
    </row>
    <row r="33" spans="1:17">
      <c r="A33" s="70" t="s">
        <v>378</v>
      </c>
      <c r="B33" s="70" t="s">
        <v>379</v>
      </c>
      <c r="C33" s="70">
        <v>6</v>
      </c>
      <c r="D33" s="70" t="s">
        <v>29</v>
      </c>
      <c r="E33" s="71">
        <v>0</v>
      </c>
      <c r="F33" s="71">
        <v>0</v>
      </c>
      <c r="G33" s="71">
        <v>0</v>
      </c>
      <c r="H33" s="72">
        <f t="shared" ca="1" si="3"/>
        <v>2.75</v>
      </c>
      <c r="I33" s="78" t="s">
        <v>30</v>
      </c>
      <c r="J33" s="70" t="s">
        <v>28</v>
      </c>
      <c r="K33" s="74">
        <v>46136</v>
      </c>
      <c r="L33" s="70" t="s">
        <v>423</v>
      </c>
      <c r="M33" s="82">
        <v>45139</v>
      </c>
      <c r="N33" s="70" t="s">
        <v>383</v>
      </c>
      <c r="O33" s="75">
        <v>33909</v>
      </c>
      <c r="P33" s="77" t="s">
        <v>416</v>
      </c>
      <c r="Q33" t="str">
        <f>IF(COUNTIF('JAN26'!$G:$G, D33)=0, "Tidak Ada", "Ada")</f>
        <v>Ada</v>
      </c>
    </row>
    <row r="34" spans="1:17">
      <c r="A34" s="70" t="s">
        <v>378</v>
      </c>
      <c r="B34" s="70" t="s">
        <v>379</v>
      </c>
      <c r="C34" s="70">
        <v>1</v>
      </c>
      <c r="D34" s="70" t="s">
        <v>426</v>
      </c>
      <c r="E34" s="71">
        <v>0</v>
      </c>
      <c r="F34" s="71">
        <v>0</v>
      </c>
      <c r="G34" s="71">
        <v>0</v>
      </c>
      <c r="H34" s="72">
        <f ca="1">((YEAR(TODAY())-YEAR(M34))*12+MONTH(TODAY())-MONTH(M34))/12</f>
        <v>4.333333333333333</v>
      </c>
      <c r="I34" s="73">
        <v>4371314568</v>
      </c>
      <c r="J34" s="70" t="s">
        <v>9</v>
      </c>
      <c r="K34" s="74"/>
      <c r="L34" s="70" t="s">
        <v>402</v>
      </c>
      <c r="M34" s="75">
        <v>44588</v>
      </c>
      <c r="N34" s="70" t="s">
        <v>383</v>
      </c>
      <c r="O34" s="75">
        <v>34627</v>
      </c>
      <c r="P34" s="77"/>
      <c r="Q34" t="str">
        <f>IF(COUNTIF('JAN26'!$G:$G, D34)=0, "Tidak Ada", "Ada")</f>
        <v>Ada</v>
      </c>
    </row>
    <row r="35" spans="1:17">
      <c r="A35" s="70" t="s">
        <v>378</v>
      </c>
      <c r="B35" s="70" t="s">
        <v>379</v>
      </c>
      <c r="C35" s="70">
        <v>2</v>
      </c>
      <c r="D35" s="70" t="s">
        <v>427</v>
      </c>
      <c r="E35" s="71">
        <v>0</v>
      </c>
      <c r="F35" s="71">
        <v>0</v>
      </c>
      <c r="G35" s="71">
        <v>0</v>
      </c>
      <c r="H35" s="72">
        <f ca="1">((YEAR(TODAY())-YEAR(M35))*12+MONTH(TODAY())-MONTH(M35))/12</f>
        <v>4</v>
      </c>
      <c r="I35" s="73">
        <v>8100893330</v>
      </c>
      <c r="J35" s="70" t="s">
        <v>11</v>
      </c>
      <c r="K35" s="74"/>
      <c r="L35" s="70" t="s">
        <v>428</v>
      </c>
      <c r="M35" s="75">
        <v>44706</v>
      </c>
      <c r="N35" s="70" t="s">
        <v>383</v>
      </c>
      <c r="O35" s="80">
        <v>35135</v>
      </c>
      <c r="P35" s="77"/>
      <c r="Q35" t="str">
        <f>IF(COUNTIF('JAN26'!$G:$G, D35)=0, "Tidak Ada", "Ada")</f>
        <v>Ada</v>
      </c>
    </row>
    <row r="36" spans="1:17">
      <c r="A36" s="70" t="s">
        <v>378</v>
      </c>
      <c r="B36" s="70" t="s">
        <v>379</v>
      </c>
      <c r="C36" s="70">
        <v>1</v>
      </c>
      <c r="D36" s="70" t="s">
        <v>149</v>
      </c>
      <c r="E36" s="71">
        <v>0</v>
      </c>
      <c r="F36" s="71">
        <v>0</v>
      </c>
      <c r="G36" s="71">
        <v>0</v>
      </c>
      <c r="H36" s="72">
        <f ca="1">((YEAR(TODAY())-YEAR(M36))*12+MONTH(TODAY())-MONTH(M36))/12</f>
        <v>0.91666666666666663</v>
      </c>
      <c r="I36" s="78" t="s">
        <v>150</v>
      </c>
      <c r="J36" s="79" t="s">
        <v>148</v>
      </c>
      <c r="K36" s="74">
        <v>46146</v>
      </c>
      <c r="L36" s="70" t="s">
        <v>429</v>
      </c>
      <c r="M36" s="86">
        <v>45817</v>
      </c>
      <c r="N36" s="70" t="s">
        <v>383</v>
      </c>
      <c r="O36" s="86">
        <v>30054</v>
      </c>
      <c r="P36" s="77" t="s">
        <v>416</v>
      </c>
      <c r="Q36" t="str">
        <f>IF(COUNTIF('JAN26'!$G:$G, D36)=0, "Tidak Ada", "Ada")</f>
        <v>Ada</v>
      </c>
    </row>
    <row r="37" spans="1:17">
      <c r="A37" s="70" t="s">
        <v>378</v>
      </c>
      <c r="B37" s="70" t="s">
        <v>379</v>
      </c>
      <c r="C37" s="70">
        <v>2</v>
      </c>
      <c r="D37" s="70" t="s">
        <v>164</v>
      </c>
      <c r="E37" s="71">
        <v>0</v>
      </c>
      <c r="F37" s="71">
        <v>0</v>
      </c>
      <c r="G37" s="71">
        <v>0</v>
      </c>
      <c r="H37" s="72">
        <f t="shared" ref="H37:H42" ca="1" si="4">((YEAR(TODAY())-YEAR(M37))*12+MONTH(TODAY())-MONTH(M37))/12</f>
        <v>6.666666666666667</v>
      </c>
      <c r="I37" s="73">
        <v>3370017751</v>
      </c>
      <c r="J37" s="70" t="s">
        <v>430</v>
      </c>
      <c r="K37" s="74"/>
      <c r="L37" s="70" t="s">
        <v>431</v>
      </c>
      <c r="M37" s="75">
        <v>43731</v>
      </c>
      <c r="N37" s="70" t="s">
        <v>383</v>
      </c>
      <c r="O37" s="75">
        <v>33253</v>
      </c>
      <c r="P37" s="77"/>
      <c r="Q37" t="str">
        <f>IF(COUNTIF('JAN26'!$G:$G, D37)=0, "Tidak Ada", "Ada")</f>
        <v>Ada</v>
      </c>
    </row>
    <row r="38" spans="1:17">
      <c r="A38" s="70" t="s">
        <v>378</v>
      </c>
      <c r="B38" s="70" t="s">
        <v>379</v>
      </c>
      <c r="C38" s="70">
        <v>3</v>
      </c>
      <c r="D38" s="70" t="s">
        <v>161</v>
      </c>
      <c r="E38" s="71">
        <v>1</v>
      </c>
      <c r="F38" s="71">
        <v>0</v>
      </c>
      <c r="G38" s="71">
        <v>0</v>
      </c>
      <c r="H38" s="72">
        <f t="shared" ca="1" si="4"/>
        <v>5</v>
      </c>
      <c r="I38" s="73">
        <v>8720710197</v>
      </c>
      <c r="J38" s="70" t="s">
        <v>160</v>
      </c>
      <c r="K38" s="74"/>
      <c r="L38" s="70" t="s">
        <v>431</v>
      </c>
      <c r="M38" s="75">
        <v>44341</v>
      </c>
      <c r="N38" s="70" t="s">
        <v>383</v>
      </c>
      <c r="O38" s="75">
        <v>32708</v>
      </c>
      <c r="P38" s="77"/>
      <c r="Q38" t="str">
        <f>IF(COUNTIF('JAN26'!$G:$G, D38)=0, "Tidak Ada", "Ada")</f>
        <v>Ada</v>
      </c>
    </row>
    <row r="39" spans="1:17">
      <c r="A39" s="70" t="s">
        <v>378</v>
      </c>
      <c r="B39" s="70" t="s">
        <v>379</v>
      </c>
      <c r="C39" s="70">
        <v>4</v>
      </c>
      <c r="D39" s="70" t="s">
        <v>153</v>
      </c>
      <c r="E39" s="71">
        <v>1</v>
      </c>
      <c r="F39" s="71">
        <v>0</v>
      </c>
      <c r="G39" s="71">
        <v>0</v>
      </c>
      <c r="H39" s="72">
        <f t="shared" ca="1" si="4"/>
        <v>2</v>
      </c>
      <c r="I39" s="78" t="s">
        <v>154</v>
      </c>
      <c r="J39" s="70" t="s">
        <v>152</v>
      </c>
      <c r="K39" s="74"/>
      <c r="L39" s="70" t="s">
        <v>431</v>
      </c>
      <c r="M39" s="82">
        <v>45426</v>
      </c>
      <c r="N39" s="70" t="s">
        <v>383</v>
      </c>
      <c r="O39" s="75">
        <v>31565</v>
      </c>
      <c r="P39" s="77"/>
      <c r="Q39" t="str">
        <f>IF(COUNTIF('JAN26'!$G:$G, D39)=0, "Tidak Ada", "Ada")</f>
        <v>Ada</v>
      </c>
    </row>
    <row r="40" spans="1:17">
      <c r="A40" s="70" t="s">
        <v>378</v>
      </c>
      <c r="B40" s="70" t="s">
        <v>379</v>
      </c>
      <c r="C40" s="70">
        <v>5</v>
      </c>
      <c r="D40" s="70" t="s">
        <v>157</v>
      </c>
      <c r="E40" s="89">
        <v>1</v>
      </c>
      <c r="F40" s="89">
        <v>0</v>
      </c>
      <c r="G40" s="89">
        <v>0</v>
      </c>
      <c r="H40" s="72">
        <f t="shared" ca="1" si="4"/>
        <v>1.5</v>
      </c>
      <c r="I40" s="78" t="s">
        <v>158</v>
      </c>
      <c r="J40" s="70" t="s">
        <v>156</v>
      </c>
      <c r="K40" s="74"/>
      <c r="L40" s="70" t="s">
        <v>431</v>
      </c>
      <c r="M40" s="86">
        <v>45616</v>
      </c>
      <c r="N40" s="70" t="s">
        <v>383</v>
      </c>
      <c r="O40" s="86">
        <v>34033</v>
      </c>
      <c r="P40" s="77"/>
      <c r="Q40" t="str">
        <f>IF(COUNTIF('JAN26'!$G:$G, D40)=0, "Tidak Ada", "Ada")</f>
        <v>Ada</v>
      </c>
    </row>
    <row r="41" spans="1:17">
      <c r="A41" s="70" t="s">
        <v>378</v>
      </c>
      <c r="B41" s="70" t="s">
        <v>379</v>
      </c>
      <c r="C41" s="70">
        <v>6</v>
      </c>
      <c r="D41" s="70" t="s">
        <v>432</v>
      </c>
      <c r="E41" s="89">
        <v>1</v>
      </c>
      <c r="F41" s="89">
        <v>0</v>
      </c>
      <c r="G41" s="89">
        <v>0</v>
      </c>
      <c r="H41" s="72">
        <f t="shared" ca="1" si="4"/>
        <v>0.66666666666666663</v>
      </c>
      <c r="I41" s="78" t="s">
        <v>433</v>
      </c>
      <c r="J41" s="70" t="s">
        <v>434</v>
      </c>
      <c r="K41" s="74"/>
      <c r="L41" s="70" t="s">
        <v>435</v>
      </c>
      <c r="M41" s="86">
        <v>45901</v>
      </c>
      <c r="N41" s="70" t="s">
        <v>383</v>
      </c>
      <c r="O41" s="80">
        <v>34609</v>
      </c>
      <c r="P41" s="77"/>
      <c r="Q41" t="str">
        <f>IF(COUNTIF('JAN26'!$G:$G, D41)=0, "Tidak Ada", "Ada")</f>
        <v>Ada</v>
      </c>
    </row>
    <row r="42" spans="1:17">
      <c r="A42" s="70" t="s">
        <v>378</v>
      </c>
      <c r="B42" s="70" t="s">
        <v>379</v>
      </c>
      <c r="C42" s="70">
        <v>7</v>
      </c>
      <c r="D42" s="90" t="s">
        <v>436</v>
      </c>
      <c r="E42" s="89">
        <v>0</v>
      </c>
      <c r="F42" s="89">
        <v>0</v>
      </c>
      <c r="G42" s="89">
        <v>0</v>
      </c>
      <c r="H42" s="72">
        <f t="shared" ca="1" si="4"/>
        <v>0.33333333333333331</v>
      </c>
      <c r="I42" s="78" t="s">
        <v>437</v>
      </c>
      <c r="J42" s="70" t="s">
        <v>438</v>
      </c>
      <c r="K42" s="74"/>
      <c r="L42" s="70" t="s">
        <v>431</v>
      </c>
      <c r="M42" s="80">
        <v>46051</v>
      </c>
      <c r="N42" s="70" t="s">
        <v>383</v>
      </c>
      <c r="O42" s="80">
        <v>35117</v>
      </c>
      <c r="P42" s="77"/>
      <c r="Q42" t="str">
        <f>IF(COUNTIF('JAN26'!$G:$G, D42)=0, "Tidak Ada", "Ada")</f>
        <v>Ada</v>
      </c>
    </row>
    <row r="43" spans="1:17">
      <c r="A43" s="70" t="s">
        <v>378</v>
      </c>
      <c r="B43" s="70" t="s">
        <v>379</v>
      </c>
      <c r="C43" s="70">
        <v>1</v>
      </c>
      <c r="D43" s="70" t="s">
        <v>439</v>
      </c>
      <c r="E43" s="71">
        <v>0</v>
      </c>
      <c r="F43" s="71">
        <v>0</v>
      </c>
      <c r="G43" s="71">
        <v>0</v>
      </c>
      <c r="H43" s="72">
        <f ca="1">((YEAR(TODAY())-YEAR(M43))*12+MONTH(TODAY())-MONTH(M43))/12</f>
        <v>2</v>
      </c>
      <c r="I43" s="78" t="s">
        <v>440</v>
      </c>
      <c r="J43" s="70" t="s">
        <v>441</v>
      </c>
      <c r="K43" s="86"/>
      <c r="L43" s="70" t="s">
        <v>442</v>
      </c>
      <c r="M43" s="75">
        <v>45414</v>
      </c>
      <c r="N43" s="70" t="s">
        <v>383</v>
      </c>
      <c r="O43" s="80">
        <v>35387</v>
      </c>
      <c r="P43" s="77"/>
      <c r="Q43" t="str">
        <f>IF(COUNTIF('JAN26'!$G:$G, D43)=0, "Tidak Ada", "Ada")</f>
        <v>Ada</v>
      </c>
    </row>
    <row r="44" spans="1:17">
      <c r="A44" s="70" t="s">
        <v>378</v>
      </c>
      <c r="B44" s="70" t="s">
        <v>379</v>
      </c>
      <c r="C44" s="70">
        <v>2</v>
      </c>
      <c r="D44" s="70" t="s">
        <v>145</v>
      </c>
      <c r="E44" s="71">
        <v>0</v>
      </c>
      <c r="F44" s="71">
        <v>0</v>
      </c>
      <c r="G44" s="71">
        <v>0</v>
      </c>
      <c r="H44" s="72">
        <f t="shared" ref="H44:H47" ca="1" si="5">((YEAR(TODAY())-YEAR(M44))*12+MONTH(TODAY())-MONTH(M44))/12</f>
        <v>5.666666666666667</v>
      </c>
      <c r="I44" s="73">
        <v>5735335861</v>
      </c>
      <c r="J44" s="70" t="s">
        <v>144</v>
      </c>
      <c r="K44" s="86"/>
      <c r="L44" s="91" t="s">
        <v>443</v>
      </c>
      <c r="M44" s="75">
        <v>44099</v>
      </c>
      <c r="N44" s="70" t="s">
        <v>383</v>
      </c>
      <c r="O44" s="75">
        <v>30179</v>
      </c>
      <c r="P44" s="77"/>
      <c r="Q44" t="str">
        <f>IF(COUNTIF('JAN26'!$G:$G, D44)=0, "Tidak Ada", "Ada")</f>
        <v>Ada</v>
      </c>
    </row>
    <row r="45" spans="1:17">
      <c r="A45" s="70" t="s">
        <v>378</v>
      </c>
      <c r="B45" s="70" t="s">
        <v>379</v>
      </c>
      <c r="C45" s="70">
        <v>3</v>
      </c>
      <c r="D45" s="70" t="s">
        <v>142</v>
      </c>
      <c r="E45" s="71">
        <v>0</v>
      </c>
      <c r="F45" s="71">
        <v>0</v>
      </c>
      <c r="G45" s="71">
        <v>0</v>
      </c>
      <c r="H45" s="72">
        <f t="shared" ca="1" si="5"/>
        <v>4.416666666666667</v>
      </c>
      <c r="I45" s="73">
        <v>5015250876</v>
      </c>
      <c r="J45" s="70" t="s">
        <v>141</v>
      </c>
      <c r="K45" s="86"/>
      <c r="L45" s="70" t="s">
        <v>443</v>
      </c>
      <c r="M45" s="75">
        <v>44531</v>
      </c>
      <c r="N45" s="70" t="s">
        <v>383</v>
      </c>
      <c r="O45" s="75">
        <v>33197</v>
      </c>
      <c r="P45" s="77"/>
      <c r="Q45" t="str">
        <f>IF(COUNTIF('JAN26'!$G:$G, D45)=0, "Tidak Ada", "Ada")</f>
        <v>Ada</v>
      </c>
    </row>
    <row r="46" spans="1:17">
      <c r="A46" s="70" t="s">
        <v>378</v>
      </c>
      <c r="B46" s="70" t="s">
        <v>379</v>
      </c>
      <c r="C46" s="70">
        <v>4</v>
      </c>
      <c r="D46" s="91" t="s">
        <v>444</v>
      </c>
      <c r="E46" s="71">
        <v>0</v>
      </c>
      <c r="F46" s="71">
        <v>0</v>
      </c>
      <c r="G46" s="71">
        <v>0</v>
      </c>
      <c r="H46" s="72">
        <f t="shared" ca="1" si="5"/>
        <v>3.5</v>
      </c>
      <c r="I46" s="92" t="s">
        <v>445</v>
      </c>
      <c r="J46" s="91" t="s">
        <v>446</v>
      </c>
      <c r="K46" s="86"/>
      <c r="L46" s="91" t="s">
        <v>447</v>
      </c>
      <c r="M46" s="93">
        <v>44875</v>
      </c>
      <c r="N46" s="91" t="s">
        <v>383</v>
      </c>
      <c r="O46" s="93">
        <v>29884</v>
      </c>
      <c r="P46" s="77"/>
      <c r="Q46" t="str">
        <f>IF(COUNTIF('JAN26'!$G:$G, D46)=0, "Tidak Ada", "Ada")</f>
        <v>Ada</v>
      </c>
    </row>
    <row r="47" spans="1:17">
      <c r="A47" s="70" t="s">
        <v>378</v>
      </c>
      <c r="B47" s="70" t="s">
        <v>379</v>
      </c>
      <c r="C47" s="70">
        <v>5</v>
      </c>
      <c r="D47" s="70" t="s">
        <v>135</v>
      </c>
      <c r="E47" s="71">
        <v>1</v>
      </c>
      <c r="F47" s="71">
        <v>0</v>
      </c>
      <c r="G47" s="71">
        <v>0</v>
      </c>
      <c r="H47" s="72">
        <f t="shared" ca="1" si="5"/>
        <v>2</v>
      </c>
      <c r="I47" s="78" t="s">
        <v>136</v>
      </c>
      <c r="J47" s="79" t="s">
        <v>134</v>
      </c>
      <c r="K47" s="86"/>
      <c r="L47" s="70" t="s">
        <v>443</v>
      </c>
      <c r="M47" s="82">
        <v>45414</v>
      </c>
      <c r="N47" s="70" t="s">
        <v>383</v>
      </c>
      <c r="O47" s="75">
        <v>34399</v>
      </c>
      <c r="P47" s="77"/>
      <c r="Q47" t="str">
        <f>IF(COUNTIF('JAN26'!$G:$G, D47)=0, "Tidak Ada", "Ada")</f>
        <v>Ada</v>
      </c>
    </row>
    <row r="48" spans="1:17" s="46" customFormat="1">
      <c r="A48" s="70" t="s">
        <v>378</v>
      </c>
      <c r="B48" s="70" t="s">
        <v>379</v>
      </c>
      <c r="C48" s="70">
        <v>6</v>
      </c>
      <c r="D48" s="91" t="s">
        <v>139</v>
      </c>
      <c r="E48" s="71">
        <v>0</v>
      </c>
      <c r="F48" s="71">
        <v>0</v>
      </c>
      <c r="G48" s="71">
        <v>1</v>
      </c>
      <c r="H48" s="72">
        <f ca="1">((YEAR(TODAY())-YEAR(M48))*12+MONTH(TODAY())-MONTH(M48))/12</f>
        <v>3.4166666666666665</v>
      </c>
      <c r="I48" s="92">
        <v>7402130230</v>
      </c>
      <c r="J48" s="91" t="s">
        <v>138</v>
      </c>
      <c r="K48" s="86"/>
      <c r="L48" s="70" t="s">
        <v>443</v>
      </c>
      <c r="M48" s="93">
        <v>44903</v>
      </c>
      <c r="N48" s="91" t="s">
        <v>383</v>
      </c>
      <c r="O48" s="93">
        <v>35619</v>
      </c>
      <c r="P48" s="77"/>
      <c r="Q48" t="str">
        <f>IF(COUNTIF('JAN26'!$G:$G, D48)=0, "Tidak Ada", "Ada")</f>
        <v>Ada</v>
      </c>
    </row>
    <row r="49" spans="1:17">
      <c r="A49" s="70" t="s">
        <v>378</v>
      </c>
      <c r="B49" s="70" t="s">
        <v>379</v>
      </c>
      <c r="C49" s="70">
        <v>1</v>
      </c>
      <c r="D49" s="70" t="s">
        <v>183</v>
      </c>
      <c r="E49" s="71">
        <v>0</v>
      </c>
      <c r="F49" s="71">
        <v>0</v>
      </c>
      <c r="G49" s="71">
        <v>0</v>
      </c>
      <c r="H49" s="72">
        <f ca="1">((YEAR(TODAY())-YEAR(M49))*12+MONTH(TODAY())-MONTH(M49))/12</f>
        <v>3.9166666666666665</v>
      </c>
      <c r="I49" s="73" t="s">
        <v>184</v>
      </c>
      <c r="J49" s="70" t="s">
        <v>182</v>
      </c>
      <c r="K49" s="86"/>
      <c r="L49" s="70" t="s">
        <v>448</v>
      </c>
      <c r="M49" s="75">
        <v>44739</v>
      </c>
      <c r="N49" s="70" t="s">
        <v>383</v>
      </c>
      <c r="O49" s="75">
        <v>32189</v>
      </c>
      <c r="P49" s="77"/>
      <c r="Q49" t="str">
        <f>IF(COUNTIF('JAN26'!$G:$G, D49)=0, "Tidak Ada", "Ada")</f>
        <v>Ada</v>
      </c>
    </row>
    <row r="50" spans="1:17">
      <c r="A50" s="70" t="s">
        <v>378</v>
      </c>
      <c r="B50" s="70" t="s">
        <v>379</v>
      </c>
      <c r="C50" s="70">
        <v>2</v>
      </c>
      <c r="D50" s="70" t="s">
        <v>179</v>
      </c>
      <c r="E50" s="71">
        <v>0</v>
      </c>
      <c r="F50" s="71">
        <v>0</v>
      </c>
      <c r="G50" s="71">
        <v>0</v>
      </c>
      <c r="H50" s="72">
        <f t="shared" ref="H50:H54" ca="1" si="6">((YEAR(TODAY())-YEAR(M50))*12+MONTH(TODAY())-MONTH(M50))/12</f>
        <v>3.25</v>
      </c>
      <c r="I50" s="78" t="s">
        <v>180</v>
      </c>
      <c r="J50" s="70" t="s">
        <v>178</v>
      </c>
      <c r="K50" s="86"/>
      <c r="L50" s="70" t="s">
        <v>448</v>
      </c>
      <c r="M50" s="75">
        <v>44979</v>
      </c>
      <c r="N50" s="70" t="s">
        <v>383</v>
      </c>
      <c r="O50" s="75">
        <v>34936</v>
      </c>
      <c r="P50" s="77"/>
      <c r="Q50" t="str">
        <f>IF(COUNTIF('JAN26'!$G:$G, D50)=0, "Tidak Ada", "Ada")</f>
        <v>Ada</v>
      </c>
    </row>
    <row r="51" spans="1:17">
      <c r="A51" s="70" t="s">
        <v>378</v>
      </c>
      <c r="B51" s="70" t="s">
        <v>379</v>
      </c>
      <c r="C51" s="70">
        <v>3</v>
      </c>
      <c r="D51" s="70" t="s">
        <v>449</v>
      </c>
      <c r="E51" s="71">
        <v>0</v>
      </c>
      <c r="F51" s="71">
        <v>0</v>
      </c>
      <c r="G51" s="71">
        <v>0</v>
      </c>
      <c r="H51" s="72">
        <f ca="1">((YEAR(TODAY())-YEAR(M51))*12+MONTH(TODAY())-MONTH(M51))/12</f>
        <v>2.8333333333333335</v>
      </c>
      <c r="I51" s="78" t="s">
        <v>450</v>
      </c>
      <c r="J51" s="70" t="s">
        <v>451</v>
      </c>
      <c r="K51" s="86"/>
      <c r="L51" s="70" t="s">
        <v>452</v>
      </c>
      <c r="M51" s="82">
        <v>45124</v>
      </c>
      <c r="N51" s="70" t="s">
        <v>383</v>
      </c>
      <c r="O51" s="75">
        <v>31212</v>
      </c>
      <c r="P51" s="77"/>
      <c r="Q51" t="str">
        <f>IF(COUNTIF('JAN26'!$G:$G, D51)=0, "Tidak Ada", "Ada")</f>
        <v>Ada</v>
      </c>
    </row>
    <row r="52" spans="1:17">
      <c r="A52" s="70" t="s">
        <v>378</v>
      </c>
      <c r="B52" s="70" t="s">
        <v>379</v>
      </c>
      <c r="C52" s="70">
        <v>4</v>
      </c>
      <c r="D52" s="88" t="s">
        <v>175</v>
      </c>
      <c r="E52" s="89">
        <v>1</v>
      </c>
      <c r="F52" s="89">
        <v>0</v>
      </c>
      <c r="G52" s="89">
        <v>0</v>
      </c>
      <c r="H52" s="72">
        <f t="shared" ca="1" si="6"/>
        <v>1.5</v>
      </c>
      <c r="I52" s="78" t="s">
        <v>176</v>
      </c>
      <c r="J52" s="79" t="s">
        <v>174</v>
      </c>
      <c r="K52" s="86">
        <v>46058</v>
      </c>
      <c r="L52" s="70" t="s">
        <v>448</v>
      </c>
      <c r="M52" s="82">
        <v>45607</v>
      </c>
      <c r="N52" s="70" t="s">
        <v>383</v>
      </c>
      <c r="O52" s="75">
        <v>44683</v>
      </c>
      <c r="P52" s="83" t="s">
        <v>416</v>
      </c>
      <c r="Q52" t="str">
        <f>IF(COUNTIF('JAN26'!$G:$G, D52)=0, "Tidak Ada", "Ada")</f>
        <v>Ada</v>
      </c>
    </row>
    <row r="53" spans="1:17" s="46" customFormat="1">
      <c r="A53" s="70" t="s">
        <v>378</v>
      </c>
      <c r="B53" s="70" t="s">
        <v>379</v>
      </c>
      <c r="C53" s="70">
        <v>5</v>
      </c>
      <c r="D53" s="91" t="s">
        <v>187</v>
      </c>
      <c r="E53" s="71">
        <v>0</v>
      </c>
      <c r="F53" s="71">
        <v>0</v>
      </c>
      <c r="G53" s="71">
        <v>0</v>
      </c>
      <c r="H53" s="72">
        <f t="shared" ca="1" si="6"/>
        <v>3.4166666666666665</v>
      </c>
      <c r="I53" s="92" t="s">
        <v>188</v>
      </c>
      <c r="J53" s="91" t="s">
        <v>186</v>
      </c>
      <c r="K53" s="86"/>
      <c r="L53" s="70" t="s">
        <v>448</v>
      </c>
      <c r="M53" s="93">
        <v>44902</v>
      </c>
      <c r="N53" s="91" t="s">
        <v>383</v>
      </c>
      <c r="O53" s="93">
        <v>29785</v>
      </c>
      <c r="P53" s="77"/>
      <c r="Q53" t="str">
        <f>IF(COUNTIF('JAN26'!$G:$G, D53)=0, "Tidak Ada", "Ada")</f>
        <v>Ada</v>
      </c>
    </row>
    <row r="54" spans="1:17" s="46" customFormat="1">
      <c r="A54" s="70" t="s">
        <v>378</v>
      </c>
      <c r="B54" s="70" t="s">
        <v>379</v>
      </c>
      <c r="C54" s="70">
        <v>6</v>
      </c>
      <c r="D54" s="91" t="s">
        <v>171</v>
      </c>
      <c r="E54" s="71">
        <v>0</v>
      </c>
      <c r="F54" s="71">
        <v>0</v>
      </c>
      <c r="G54" s="71">
        <v>0</v>
      </c>
      <c r="H54" s="72">
        <f t="shared" ca="1" si="6"/>
        <v>0.75</v>
      </c>
      <c r="I54" s="92" t="s">
        <v>172</v>
      </c>
      <c r="J54" s="91" t="s">
        <v>170</v>
      </c>
      <c r="K54" s="86"/>
      <c r="L54" s="70" t="s">
        <v>448</v>
      </c>
      <c r="M54" s="80">
        <v>45894</v>
      </c>
      <c r="N54" s="91" t="s">
        <v>383</v>
      </c>
      <c r="O54" s="80">
        <v>32737</v>
      </c>
      <c r="P54" s="77"/>
      <c r="Q54" t="str">
        <f>IF(COUNTIF('JAN26'!$G:$G, D54)=0, "Tidak Ada", "Ada")</f>
        <v>Ada</v>
      </c>
    </row>
    <row r="55" spans="1:17" s="46" customFormat="1">
      <c r="A55" s="70" t="s">
        <v>378</v>
      </c>
      <c r="B55" s="70" t="s">
        <v>379</v>
      </c>
      <c r="C55" s="91">
        <v>1</v>
      </c>
      <c r="D55" s="91" t="s">
        <v>192</v>
      </c>
      <c r="E55" s="71">
        <v>0</v>
      </c>
      <c r="F55" s="71">
        <v>0</v>
      </c>
      <c r="G55" s="71">
        <v>0</v>
      </c>
      <c r="H55" s="72">
        <f ca="1">((YEAR(TODAY())-YEAR(M55))*12+MONTH(TODAY())-MONTH(M55))/12</f>
        <v>4.583333333333333</v>
      </c>
      <c r="I55" s="94">
        <v>8691144780</v>
      </c>
      <c r="J55" s="91" t="s">
        <v>191</v>
      </c>
      <c r="K55" s="86"/>
      <c r="L55" s="91" t="s">
        <v>453</v>
      </c>
      <c r="M55" s="93">
        <v>44496</v>
      </c>
      <c r="N55" s="91" t="s">
        <v>383</v>
      </c>
      <c r="O55" s="93">
        <v>33029</v>
      </c>
      <c r="P55" s="77"/>
      <c r="Q55" t="str">
        <f>IF(COUNTIF('JAN26'!$G:$G, D55)=0, "Tidak Ada", "Ada")</f>
        <v>Ada</v>
      </c>
    </row>
    <row r="56" spans="1:17">
      <c r="A56" s="70" t="s">
        <v>378</v>
      </c>
      <c r="B56" s="70" t="s">
        <v>379</v>
      </c>
      <c r="C56" s="91">
        <v>2</v>
      </c>
      <c r="D56" s="91" t="s">
        <v>199</v>
      </c>
      <c r="E56" s="71">
        <v>0</v>
      </c>
      <c r="F56" s="71">
        <v>0</v>
      </c>
      <c r="G56" s="71">
        <v>0</v>
      </c>
      <c r="H56" s="72">
        <f t="shared" ref="H56" ca="1" si="7">((YEAR(TODAY())-YEAR(M56))*12+MONTH(TODAY())-MONTH(M56))/12</f>
        <v>3.4166666666666665</v>
      </c>
      <c r="I56" s="92" t="s">
        <v>200</v>
      </c>
      <c r="J56" s="91" t="s">
        <v>198</v>
      </c>
      <c r="K56" s="86">
        <v>46146</v>
      </c>
      <c r="L56" s="91" t="s">
        <v>453</v>
      </c>
      <c r="M56" s="93">
        <v>44903</v>
      </c>
      <c r="N56" s="91" t="s">
        <v>383</v>
      </c>
      <c r="O56" s="93">
        <v>32542</v>
      </c>
      <c r="P56" s="77" t="s">
        <v>416</v>
      </c>
      <c r="Q56" t="str">
        <f>IF(COUNTIF('JAN26'!$G:$G, D56)=0, "Tidak Ada", "Ada")</f>
        <v>Ada</v>
      </c>
    </row>
    <row r="57" spans="1:17">
      <c r="A57" s="70" t="s">
        <v>378</v>
      </c>
      <c r="B57" s="70" t="s">
        <v>379</v>
      </c>
      <c r="C57" s="91">
        <v>3</v>
      </c>
      <c r="D57" s="70" t="s">
        <v>203</v>
      </c>
      <c r="E57" s="71">
        <v>0</v>
      </c>
      <c r="F57" s="71">
        <v>0</v>
      </c>
      <c r="G57" s="71">
        <v>0</v>
      </c>
      <c r="H57" s="72">
        <f ca="1">((YEAR(TODAY())-YEAR(M57))*12+MONTH(TODAY())-MONTH(M57))/12</f>
        <v>0.58333333333333337</v>
      </c>
      <c r="I57" s="78" t="s">
        <v>204</v>
      </c>
      <c r="J57" s="79" t="s">
        <v>202</v>
      </c>
      <c r="K57" s="74"/>
      <c r="L57" s="70" t="s">
        <v>453</v>
      </c>
      <c r="M57" s="82">
        <v>45944</v>
      </c>
      <c r="N57" s="70" t="s">
        <v>383</v>
      </c>
      <c r="O57" s="75">
        <v>32663</v>
      </c>
      <c r="P57" s="77"/>
      <c r="Q57" t="str">
        <f>IF(COUNTIF('JAN26'!$G:$G, D57)=0, "Tidak Ada", "Ada")</f>
        <v>Ada</v>
      </c>
    </row>
    <row r="58" spans="1:17">
      <c r="A58" s="70" t="s">
        <v>378</v>
      </c>
      <c r="B58" s="70" t="s">
        <v>379</v>
      </c>
      <c r="C58" s="91">
        <v>4</v>
      </c>
      <c r="D58" s="85" t="s">
        <v>454</v>
      </c>
      <c r="E58" s="71">
        <v>0</v>
      </c>
      <c r="F58" s="71">
        <v>0</v>
      </c>
      <c r="G58" s="71">
        <v>0</v>
      </c>
      <c r="H58" s="72">
        <f ca="1">((YEAR(TODAY())-YEAR(M58))*12+MONTH(TODAY())-MONTH(M58))/12</f>
        <v>0.41666666666666669</v>
      </c>
      <c r="I58" s="85" t="s">
        <v>455</v>
      </c>
      <c r="J58" s="79" t="s">
        <v>194</v>
      </c>
      <c r="K58" s="74">
        <v>46136</v>
      </c>
      <c r="L58" s="70" t="s">
        <v>453</v>
      </c>
      <c r="M58" s="80">
        <v>46021</v>
      </c>
      <c r="N58" s="70" t="s">
        <v>383</v>
      </c>
      <c r="O58" s="80">
        <v>31105</v>
      </c>
      <c r="P58" s="77" t="s">
        <v>416</v>
      </c>
      <c r="Q58" t="str">
        <f>IF(COUNTIF('JAN26'!$G:$G, D58)=0, "Tidak Ada", "Ada")</f>
        <v>Tidak Ada</v>
      </c>
    </row>
    <row r="59" spans="1:17">
      <c r="A59" s="70" t="s">
        <v>378</v>
      </c>
      <c r="B59" s="70" t="s">
        <v>379</v>
      </c>
      <c r="C59" s="70">
        <v>1</v>
      </c>
      <c r="D59" s="70" t="s">
        <v>279</v>
      </c>
      <c r="E59" s="71">
        <v>0</v>
      </c>
      <c r="F59" s="71">
        <v>0</v>
      </c>
      <c r="G59" s="71">
        <v>0</v>
      </c>
      <c r="H59" s="72">
        <f ca="1">((YEAR(TODAY())-YEAR(M59))*12+MONTH(TODAY())-MONTH(M59))/12</f>
        <v>7.666666666666667</v>
      </c>
      <c r="I59" s="73" t="s">
        <v>280</v>
      </c>
      <c r="J59" s="70" t="s">
        <v>278</v>
      </c>
      <c r="K59" s="74"/>
      <c r="L59" s="70" t="s">
        <v>456</v>
      </c>
      <c r="M59" s="75">
        <v>43349</v>
      </c>
      <c r="N59" s="70" t="s">
        <v>457</v>
      </c>
      <c r="O59" s="75">
        <v>31517</v>
      </c>
      <c r="P59" s="77"/>
      <c r="Q59" t="str">
        <f>IF(COUNTIF('JAN26'!$G:$G, D59)=0, "Tidak Ada", "Ada")</f>
        <v>Ada</v>
      </c>
    </row>
    <row r="60" spans="1:17">
      <c r="A60" s="70" t="s">
        <v>378</v>
      </c>
      <c r="B60" s="70" t="s">
        <v>379</v>
      </c>
      <c r="C60" s="70">
        <v>2</v>
      </c>
      <c r="D60" s="70" t="s">
        <v>272</v>
      </c>
      <c r="E60" s="71">
        <v>0</v>
      </c>
      <c r="F60" s="71">
        <v>0</v>
      </c>
      <c r="G60" s="71">
        <v>0</v>
      </c>
      <c r="H60" s="72">
        <f t="shared" ref="H60:H64" ca="1" si="8">((YEAR(TODAY())-YEAR(M60))*12+MONTH(TODAY())-MONTH(M60))/12</f>
        <v>5.5</v>
      </c>
      <c r="I60" s="73">
        <v>3780397925</v>
      </c>
      <c r="J60" s="70" t="s">
        <v>271</v>
      </c>
      <c r="K60" s="74"/>
      <c r="L60" s="70" t="s">
        <v>456</v>
      </c>
      <c r="M60" s="75">
        <v>44137</v>
      </c>
      <c r="N60" s="70" t="s">
        <v>383</v>
      </c>
      <c r="O60" s="75">
        <v>31589</v>
      </c>
      <c r="P60" s="77"/>
      <c r="Q60" t="str">
        <f>IF(COUNTIF('JAN26'!$G:$G, D60)=0, "Tidak Ada", "Ada")</f>
        <v>Ada</v>
      </c>
    </row>
    <row r="61" spans="1:17">
      <c r="A61" s="70" t="s">
        <v>378</v>
      </c>
      <c r="B61" s="70" t="s">
        <v>379</v>
      </c>
      <c r="C61" s="70">
        <v>3</v>
      </c>
      <c r="D61" s="70" t="s">
        <v>287</v>
      </c>
      <c r="E61" s="71">
        <v>0</v>
      </c>
      <c r="F61" s="71">
        <v>0</v>
      </c>
      <c r="G61" s="71">
        <v>0</v>
      </c>
      <c r="H61" s="72">
        <f t="shared" ca="1" si="8"/>
        <v>4.416666666666667</v>
      </c>
      <c r="I61" s="73">
        <v>1092167482</v>
      </c>
      <c r="J61" s="70" t="s">
        <v>286</v>
      </c>
      <c r="K61" s="74">
        <v>46113</v>
      </c>
      <c r="L61" s="70" t="s">
        <v>458</v>
      </c>
      <c r="M61" s="75">
        <v>44538</v>
      </c>
      <c r="N61" s="70" t="s">
        <v>383</v>
      </c>
      <c r="O61" s="75">
        <v>31664</v>
      </c>
      <c r="P61" s="77"/>
      <c r="Q61" t="str">
        <f>IF(COUNTIF('JAN26'!$G:$G, D61)=0, "Tidak Ada", "Ada")</f>
        <v>Ada</v>
      </c>
    </row>
    <row r="62" spans="1:17">
      <c r="A62" s="70" t="s">
        <v>378</v>
      </c>
      <c r="B62" s="70" t="s">
        <v>379</v>
      </c>
      <c r="C62" s="70">
        <v>4</v>
      </c>
      <c r="D62" s="70" t="s">
        <v>291</v>
      </c>
      <c r="E62" s="71">
        <v>0</v>
      </c>
      <c r="F62" s="71">
        <v>0</v>
      </c>
      <c r="G62" s="71">
        <v>0</v>
      </c>
      <c r="H62" s="72">
        <f t="shared" ca="1" si="8"/>
        <v>2.9166666666666665</v>
      </c>
      <c r="I62" s="78" t="s">
        <v>292</v>
      </c>
      <c r="J62" s="70" t="s">
        <v>290</v>
      </c>
      <c r="K62" s="74"/>
      <c r="L62" s="70" t="s">
        <v>459</v>
      </c>
      <c r="M62" s="82">
        <v>45104</v>
      </c>
      <c r="N62" s="70" t="s">
        <v>383</v>
      </c>
      <c r="O62" s="75">
        <v>30888</v>
      </c>
      <c r="P62" s="77"/>
      <c r="Q62" t="str">
        <f>IF(COUNTIF('JAN26'!$G:$G, D62)=0, "Tidak Ada", "Ada")</f>
        <v>Ada</v>
      </c>
    </row>
    <row r="63" spans="1:17">
      <c r="A63" s="70" t="s">
        <v>378</v>
      </c>
      <c r="B63" s="70" t="s">
        <v>379</v>
      </c>
      <c r="C63" s="70">
        <v>5</v>
      </c>
      <c r="D63" s="70" t="s">
        <v>268</v>
      </c>
      <c r="E63" s="71">
        <v>0</v>
      </c>
      <c r="F63" s="71">
        <v>0</v>
      </c>
      <c r="G63" s="71">
        <v>0</v>
      </c>
      <c r="H63" s="72">
        <f t="shared" ca="1" si="8"/>
        <v>1.4166666666666667</v>
      </c>
      <c r="I63" s="78" t="s">
        <v>269</v>
      </c>
      <c r="J63" s="79" t="s">
        <v>267</v>
      </c>
      <c r="K63" s="74"/>
      <c r="L63" s="70" t="s">
        <v>460</v>
      </c>
      <c r="M63" s="82">
        <v>45649</v>
      </c>
      <c r="N63" s="70" t="s">
        <v>457</v>
      </c>
      <c r="O63" s="75">
        <v>33135</v>
      </c>
      <c r="P63" s="95"/>
      <c r="Q63" t="str">
        <f>IF(COUNTIF('JAN26'!$G:$G, D63)=0, "Tidak Ada", "Ada")</f>
        <v>Ada</v>
      </c>
    </row>
    <row r="64" spans="1:17">
      <c r="A64" s="70" t="s">
        <v>378</v>
      </c>
      <c r="B64" s="70" t="s">
        <v>379</v>
      </c>
      <c r="C64" s="70">
        <v>6</v>
      </c>
      <c r="D64" s="70" t="s">
        <v>275</v>
      </c>
      <c r="E64" s="71">
        <v>0</v>
      </c>
      <c r="F64" s="71">
        <v>0</v>
      </c>
      <c r="G64" s="71">
        <v>0</v>
      </c>
      <c r="H64" s="72">
        <f t="shared" ca="1" si="8"/>
        <v>0.75</v>
      </c>
      <c r="I64" s="78" t="s">
        <v>276</v>
      </c>
      <c r="J64" s="79" t="s">
        <v>274</v>
      </c>
      <c r="K64" s="74">
        <v>46150</v>
      </c>
      <c r="L64" s="70" t="s">
        <v>456</v>
      </c>
      <c r="M64" s="82">
        <v>45894</v>
      </c>
      <c r="N64" s="70" t="s">
        <v>383</v>
      </c>
      <c r="O64" s="80">
        <v>32300</v>
      </c>
      <c r="P64" s="77"/>
      <c r="Q64" t="str">
        <f>IF(COUNTIF('JAN26'!$G:$G, D64)=0, "Tidak Ada", "Ada")</f>
        <v>Ada</v>
      </c>
    </row>
    <row r="65" spans="1:17">
      <c r="A65" s="70" t="s">
        <v>378</v>
      </c>
      <c r="B65" s="70" t="s">
        <v>379</v>
      </c>
      <c r="C65" s="70">
        <v>1</v>
      </c>
      <c r="D65" s="70" t="s">
        <v>461</v>
      </c>
      <c r="E65" s="71">
        <v>0</v>
      </c>
      <c r="F65" s="71">
        <v>0</v>
      </c>
      <c r="G65" s="71">
        <v>0</v>
      </c>
      <c r="H65" s="72">
        <f ca="1">((YEAR(TODAY())-YEAR(M65))*12+MONTH(TODAY())-MONTH(M65))/12</f>
        <v>4.083333333333333</v>
      </c>
      <c r="I65" s="73">
        <v>8180379941</v>
      </c>
      <c r="J65" s="70" t="s">
        <v>462</v>
      </c>
      <c r="K65" s="74"/>
      <c r="L65" s="70" t="s">
        <v>463</v>
      </c>
      <c r="M65" s="75">
        <v>44669</v>
      </c>
      <c r="N65" s="70" t="s">
        <v>383</v>
      </c>
      <c r="O65" s="75">
        <v>28678</v>
      </c>
      <c r="P65" s="77"/>
      <c r="Q65" t="str">
        <f>IF(COUNTIF('JAN26'!$G:$G, D65)=0, "Tidak Ada", "Ada")</f>
        <v>Ada</v>
      </c>
    </row>
    <row r="66" spans="1:17">
      <c r="A66" s="70" t="s">
        <v>378</v>
      </c>
      <c r="B66" s="70" t="s">
        <v>379</v>
      </c>
      <c r="C66" s="70">
        <v>2</v>
      </c>
      <c r="D66" s="70" t="s">
        <v>214</v>
      </c>
      <c r="E66" s="71">
        <v>0</v>
      </c>
      <c r="F66" s="71">
        <v>0</v>
      </c>
      <c r="G66" s="71">
        <v>0</v>
      </c>
      <c r="H66" s="72">
        <f t="shared" ref="H66:H72" ca="1" si="9">((YEAR(TODAY())-YEAR(M66))*12+MONTH(TODAY())-MONTH(M66))/12</f>
        <v>4.416666666666667</v>
      </c>
      <c r="I66" s="73">
        <v>8180224085</v>
      </c>
      <c r="J66" s="70" t="s">
        <v>213</v>
      </c>
      <c r="K66" s="74"/>
      <c r="L66" s="70" t="s">
        <v>464</v>
      </c>
      <c r="M66" s="75">
        <v>44536</v>
      </c>
      <c r="N66" s="70" t="s">
        <v>383</v>
      </c>
      <c r="O66" s="75">
        <v>35737</v>
      </c>
      <c r="P66" s="77"/>
      <c r="Q66" t="str">
        <f>IF(COUNTIF('JAN26'!$G:$G, D66)=0, "Tidak Ada", "Ada")</f>
        <v>Ada</v>
      </c>
    </row>
    <row r="67" spans="1:17">
      <c r="A67" s="70" t="s">
        <v>378</v>
      </c>
      <c r="B67" s="70" t="s">
        <v>379</v>
      </c>
      <c r="C67" s="70">
        <v>3</v>
      </c>
      <c r="D67" s="70" t="s">
        <v>465</v>
      </c>
      <c r="E67" s="71">
        <v>0</v>
      </c>
      <c r="F67" s="71">
        <v>0</v>
      </c>
      <c r="G67" s="71">
        <v>0</v>
      </c>
      <c r="H67" s="72">
        <f t="shared" ca="1" si="9"/>
        <v>4.166666666666667</v>
      </c>
      <c r="I67" s="73">
        <v>8180374729</v>
      </c>
      <c r="J67" s="70" t="s">
        <v>466</v>
      </c>
      <c r="K67" s="74"/>
      <c r="L67" s="70" t="s">
        <v>467</v>
      </c>
      <c r="M67" s="75">
        <v>44645</v>
      </c>
      <c r="N67" s="70" t="s">
        <v>383</v>
      </c>
      <c r="O67" s="75">
        <v>33527</v>
      </c>
      <c r="P67" s="77"/>
      <c r="Q67" t="str">
        <f>IF(COUNTIF('JAN26'!$G:$G, D67)=0, "Tidak Ada", "Ada")</f>
        <v>Ada</v>
      </c>
    </row>
    <row r="68" spans="1:17">
      <c r="A68" s="70" t="s">
        <v>378</v>
      </c>
      <c r="B68" s="70" t="s">
        <v>379</v>
      </c>
      <c r="C68" s="70">
        <v>4</v>
      </c>
      <c r="D68" s="70" t="s">
        <v>210</v>
      </c>
      <c r="E68" s="71">
        <v>0</v>
      </c>
      <c r="F68" s="71">
        <v>1</v>
      </c>
      <c r="G68" s="71">
        <v>0</v>
      </c>
      <c r="H68" s="72">
        <f t="shared" ca="1" si="9"/>
        <v>3.3333333333333335</v>
      </c>
      <c r="I68" s="78" t="s">
        <v>211</v>
      </c>
      <c r="J68" s="70" t="s">
        <v>209</v>
      </c>
      <c r="K68" s="74"/>
      <c r="L68" s="70" t="s">
        <v>464</v>
      </c>
      <c r="M68" s="75">
        <v>44951</v>
      </c>
      <c r="N68" s="70" t="s">
        <v>383</v>
      </c>
      <c r="O68" s="75">
        <v>34993</v>
      </c>
      <c r="P68" s="77"/>
      <c r="Q68" t="str">
        <f>IF(COUNTIF('JAN26'!$G:$G, D68)=0, "Tidak Ada", "Ada")</f>
        <v>Ada</v>
      </c>
    </row>
    <row r="69" spans="1:17">
      <c r="A69" s="70" t="s">
        <v>378</v>
      </c>
      <c r="B69" s="70" t="s">
        <v>379</v>
      </c>
      <c r="C69" s="70">
        <v>5</v>
      </c>
      <c r="D69" s="88" t="s">
        <v>220</v>
      </c>
      <c r="E69" s="71">
        <v>0</v>
      </c>
      <c r="F69" s="71">
        <v>0</v>
      </c>
      <c r="G69" s="71">
        <v>0</v>
      </c>
      <c r="H69" s="72">
        <f t="shared" ca="1" si="9"/>
        <v>1.8333333333333333</v>
      </c>
      <c r="I69" s="78">
        <v>8180505475</v>
      </c>
      <c r="J69" s="79" t="s">
        <v>219</v>
      </c>
      <c r="K69" s="74"/>
      <c r="L69" s="70" t="s">
        <v>464</v>
      </c>
      <c r="M69" s="82">
        <v>45502</v>
      </c>
      <c r="N69" s="70" t="s">
        <v>383</v>
      </c>
      <c r="O69" s="75">
        <v>36048</v>
      </c>
      <c r="P69" s="77"/>
      <c r="Q69" t="str">
        <f>IF(COUNTIF('JAN26'!$G:$G, D69)=0, "Tidak Ada", "Ada")</f>
        <v>Ada</v>
      </c>
    </row>
    <row r="70" spans="1:17">
      <c r="A70" s="70" t="s">
        <v>378</v>
      </c>
      <c r="B70" s="70" t="s">
        <v>379</v>
      </c>
      <c r="C70" s="70">
        <v>6</v>
      </c>
      <c r="D70" s="88" t="s">
        <v>228</v>
      </c>
      <c r="E70" s="71">
        <v>0</v>
      </c>
      <c r="F70" s="71">
        <v>0</v>
      </c>
      <c r="G70" s="71">
        <v>0</v>
      </c>
      <c r="H70" s="72">
        <f t="shared" ca="1" si="9"/>
        <v>1.4166666666666667</v>
      </c>
      <c r="I70" s="78" t="s">
        <v>229</v>
      </c>
      <c r="J70" s="79" t="s">
        <v>227</v>
      </c>
      <c r="K70" s="74"/>
      <c r="L70" s="70" t="s">
        <v>464</v>
      </c>
      <c r="M70" s="82">
        <v>45643</v>
      </c>
      <c r="N70" s="70" t="s">
        <v>383</v>
      </c>
      <c r="O70" s="75">
        <v>35318</v>
      </c>
      <c r="P70" s="77"/>
      <c r="Q70" t="str">
        <f>IF(COUNTIF('JAN26'!$G:$G, D70)=0, "Tidak Ada", "Ada")</f>
        <v>Ada</v>
      </c>
    </row>
    <row r="71" spans="1:17">
      <c r="A71" s="70" t="s">
        <v>378</v>
      </c>
      <c r="B71" s="70" t="s">
        <v>379</v>
      </c>
      <c r="C71" s="70">
        <v>7</v>
      </c>
      <c r="D71" s="88" t="s">
        <v>224</v>
      </c>
      <c r="E71" s="71">
        <v>0</v>
      </c>
      <c r="F71" s="71">
        <v>1</v>
      </c>
      <c r="G71" s="71">
        <v>0</v>
      </c>
      <c r="H71" s="72">
        <f t="shared" ca="1" si="9"/>
        <v>1.25</v>
      </c>
      <c r="I71" s="78" t="s">
        <v>225</v>
      </c>
      <c r="J71" s="79" t="s">
        <v>223</v>
      </c>
      <c r="K71" s="74"/>
      <c r="L71" s="70" t="s">
        <v>464</v>
      </c>
      <c r="M71" s="82">
        <v>45708</v>
      </c>
      <c r="N71" s="70" t="s">
        <v>383</v>
      </c>
      <c r="O71" s="75">
        <v>33310</v>
      </c>
      <c r="P71" s="77"/>
      <c r="Q71" t="str">
        <f>IF(COUNTIF('JAN26'!$G:$G, D71)=0, "Tidak Ada", "Ada")</f>
        <v>Ada</v>
      </c>
    </row>
    <row r="72" spans="1:17">
      <c r="A72" s="70" t="s">
        <v>378</v>
      </c>
      <c r="B72" s="70" t="s">
        <v>379</v>
      </c>
      <c r="C72" s="70">
        <v>8</v>
      </c>
      <c r="D72" s="88" t="s">
        <v>217</v>
      </c>
      <c r="E72" s="71">
        <v>0</v>
      </c>
      <c r="F72" s="71">
        <v>0</v>
      </c>
      <c r="G72" s="71">
        <v>0</v>
      </c>
      <c r="H72" s="72">
        <f t="shared" ca="1" si="9"/>
        <v>0.83333333333333337</v>
      </c>
      <c r="I72" s="78">
        <v>373802651</v>
      </c>
      <c r="J72" s="79" t="s">
        <v>216</v>
      </c>
      <c r="K72" s="74"/>
      <c r="L72" s="70" t="s">
        <v>464</v>
      </c>
      <c r="M72" s="82">
        <v>45845</v>
      </c>
      <c r="N72" s="70" t="s">
        <v>383</v>
      </c>
      <c r="O72" s="75">
        <v>33109</v>
      </c>
      <c r="P72" s="77"/>
      <c r="Q72" t="str">
        <f>IF(COUNTIF('JAN26'!$G:$G, D72)=0, "Tidak Ada", "Ada")</f>
        <v>Ada</v>
      </c>
    </row>
    <row r="73" spans="1:17">
      <c r="A73" s="70" t="s">
        <v>378</v>
      </c>
      <c r="B73" s="70" t="s">
        <v>379</v>
      </c>
      <c r="C73" s="70">
        <v>1</v>
      </c>
      <c r="D73" s="70" t="s">
        <v>468</v>
      </c>
      <c r="E73" s="71">
        <v>0</v>
      </c>
      <c r="F73" s="71">
        <v>0</v>
      </c>
      <c r="G73" s="71">
        <v>0</v>
      </c>
      <c r="H73" s="72">
        <f ca="1">((YEAR(TODAY())-YEAR(M73))*12+MONTH(TODAY())-MONTH(M73))/12</f>
        <v>5.833333333333333</v>
      </c>
      <c r="I73" s="73">
        <v>4380053131</v>
      </c>
      <c r="J73" s="70" t="s">
        <v>469</v>
      </c>
      <c r="K73" s="74"/>
      <c r="L73" s="70" t="s">
        <v>470</v>
      </c>
      <c r="M73" s="75">
        <v>44034</v>
      </c>
      <c r="N73" s="70" t="s">
        <v>383</v>
      </c>
      <c r="O73" s="75">
        <v>32802</v>
      </c>
      <c r="P73" s="77"/>
      <c r="Q73" t="str">
        <f>IF(COUNTIF('JAN26'!$G:$G, D73)=0, "Tidak Ada", "Ada")</f>
        <v>Ada</v>
      </c>
    </row>
    <row r="74" spans="1:17">
      <c r="A74" s="70" t="s">
        <v>378</v>
      </c>
      <c r="B74" s="70" t="s">
        <v>379</v>
      </c>
      <c r="C74" s="70">
        <v>2</v>
      </c>
      <c r="D74" s="70" t="s">
        <v>259</v>
      </c>
      <c r="E74" s="71">
        <v>0</v>
      </c>
      <c r="F74" s="71">
        <v>0</v>
      </c>
      <c r="G74" s="71">
        <v>0</v>
      </c>
      <c r="H74" s="72">
        <f t="shared" ref="H74:H76" ca="1" si="10">((YEAR(TODAY())-YEAR(M74))*12+MONTH(TODAY())-MONTH(M74))/12</f>
        <v>0.91666666666666663</v>
      </c>
      <c r="I74" s="73" t="s">
        <v>260</v>
      </c>
      <c r="J74" s="70" t="s">
        <v>258</v>
      </c>
      <c r="K74" s="74"/>
      <c r="L74" s="70" t="s">
        <v>471</v>
      </c>
      <c r="M74" s="75">
        <v>45824</v>
      </c>
      <c r="N74" s="70" t="s">
        <v>383</v>
      </c>
      <c r="O74" s="75">
        <v>34617</v>
      </c>
      <c r="P74" s="77"/>
      <c r="Q74" t="str">
        <f>IF(COUNTIF('JAN26'!$G:$G, D74)=0, "Tidak Ada", "Ada")</f>
        <v>Ada</v>
      </c>
    </row>
    <row r="75" spans="1:17">
      <c r="A75" s="70" t="s">
        <v>378</v>
      </c>
      <c r="B75" s="70" t="s">
        <v>379</v>
      </c>
      <c r="C75" s="70">
        <v>3</v>
      </c>
      <c r="D75" s="70" t="s">
        <v>255</v>
      </c>
      <c r="E75" s="71">
        <v>0</v>
      </c>
      <c r="F75" s="71">
        <v>0</v>
      </c>
      <c r="G75" s="71">
        <v>0</v>
      </c>
      <c r="H75" s="72">
        <f t="shared" ca="1" si="10"/>
        <v>0.83333333333333337</v>
      </c>
      <c r="I75" s="73" t="s">
        <v>256</v>
      </c>
      <c r="J75" s="70" t="s">
        <v>254</v>
      </c>
      <c r="K75" s="74"/>
      <c r="L75" s="70" t="s">
        <v>471</v>
      </c>
      <c r="M75" s="75">
        <v>45841</v>
      </c>
      <c r="N75" s="70" t="s">
        <v>383</v>
      </c>
      <c r="O75" s="75">
        <v>27769</v>
      </c>
      <c r="P75" s="77"/>
      <c r="Q75" t="str">
        <f>IF(COUNTIF('JAN26'!$G:$G, D75)=0, "Tidak Ada", "Ada")</f>
        <v>Ada</v>
      </c>
    </row>
    <row r="76" spans="1:17">
      <c r="A76" s="70" t="s">
        <v>378</v>
      </c>
      <c r="B76" s="70" t="s">
        <v>379</v>
      </c>
      <c r="C76" s="70">
        <v>4</v>
      </c>
      <c r="D76" s="70" t="s">
        <v>472</v>
      </c>
      <c r="E76" s="71">
        <v>0</v>
      </c>
      <c r="F76" s="71">
        <v>0</v>
      </c>
      <c r="G76" s="71">
        <v>0</v>
      </c>
      <c r="H76" s="72">
        <f t="shared" ca="1" si="10"/>
        <v>0.75</v>
      </c>
      <c r="I76" s="78" t="s">
        <v>264</v>
      </c>
      <c r="J76" s="70" t="s">
        <v>262</v>
      </c>
      <c r="K76" s="74"/>
      <c r="L76" s="70" t="s">
        <v>471</v>
      </c>
      <c r="M76" s="75">
        <v>45873</v>
      </c>
      <c r="N76" s="70" t="s">
        <v>383</v>
      </c>
      <c r="O76" s="80">
        <v>31112</v>
      </c>
      <c r="P76" s="77"/>
      <c r="Q76" t="str">
        <f>IF(COUNTIF('JAN26'!$G:$G, D76)=0, "Tidak Ada", "Ada")</f>
        <v>Tidak Ada</v>
      </c>
    </row>
    <row r="77" spans="1:17">
      <c r="A77" s="70" t="s">
        <v>378</v>
      </c>
      <c r="B77" s="70" t="s">
        <v>379</v>
      </c>
      <c r="C77" s="70">
        <v>1</v>
      </c>
      <c r="D77" s="70" t="s">
        <v>473</v>
      </c>
      <c r="E77" s="71">
        <v>0</v>
      </c>
      <c r="F77" s="71">
        <v>0</v>
      </c>
      <c r="G77" s="71">
        <v>0</v>
      </c>
      <c r="H77" s="72">
        <f ca="1">((YEAR(TODAY())-YEAR(M77))*12+MONTH(TODAY())-MONTH(M77))/12</f>
        <v>3.6666666666666665</v>
      </c>
      <c r="I77" s="73">
        <v>3740904263</v>
      </c>
      <c r="J77" s="70" t="s">
        <v>474</v>
      </c>
      <c r="K77" s="74"/>
      <c r="L77" s="70" t="s">
        <v>475</v>
      </c>
      <c r="M77" s="75">
        <v>44816</v>
      </c>
      <c r="N77" s="70" t="s">
        <v>383</v>
      </c>
      <c r="O77" s="75">
        <v>35010</v>
      </c>
      <c r="P77" s="77"/>
      <c r="Q77" t="str">
        <f>IF(COUNTIF('JAN26'!$G:$G, D77)=0, "Tidak Ada", "Ada")</f>
        <v>Ada</v>
      </c>
    </row>
    <row r="78" spans="1:17">
      <c r="A78" s="70" t="s">
        <v>378</v>
      </c>
      <c r="B78" s="70" t="s">
        <v>379</v>
      </c>
      <c r="C78" s="70">
        <v>2</v>
      </c>
      <c r="D78" s="70" t="s">
        <v>251</v>
      </c>
      <c r="E78" s="71">
        <v>0</v>
      </c>
      <c r="F78" s="71">
        <v>0</v>
      </c>
      <c r="G78" s="71">
        <v>0</v>
      </c>
      <c r="H78" s="72">
        <f t="shared" ref="H78:H83" ca="1" si="11">((YEAR(TODAY())-YEAR(M78))*12+MONTH(TODAY())-MONTH(M78))/12</f>
        <v>2</v>
      </c>
      <c r="I78" s="78" t="s">
        <v>252</v>
      </c>
      <c r="J78" s="79" t="s">
        <v>250</v>
      </c>
      <c r="K78" s="74"/>
      <c r="L78" s="70" t="s">
        <v>476</v>
      </c>
      <c r="M78" s="82">
        <v>45418</v>
      </c>
      <c r="N78" s="70" t="s">
        <v>383</v>
      </c>
      <c r="O78" s="75">
        <v>31779</v>
      </c>
      <c r="P78" s="77"/>
      <c r="Q78" t="str">
        <f>IF(COUNTIF('JAN26'!$G:$G, D78)=0, "Tidak Ada", "Ada")</f>
        <v>Ada</v>
      </c>
    </row>
    <row r="79" spans="1:17">
      <c r="A79" s="70" t="s">
        <v>378</v>
      </c>
      <c r="B79" s="70" t="s">
        <v>379</v>
      </c>
      <c r="C79" s="70">
        <v>3</v>
      </c>
      <c r="D79" s="96" t="s">
        <v>240</v>
      </c>
      <c r="E79" s="71">
        <v>0</v>
      </c>
      <c r="F79" s="71">
        <v>0</v>
      </c>
      <c r="G79" s="71">
        <v>0</v>
      </c>
      <c r="H79" s="72">
        <f t="shared" ca="1" si="11"/>
        <v>1.8333333333333333</v>
      </c>
      <c r="I79" s="78">
        <v>1341470272</v>
      </c>
      <c r="J79" s="79" t="s">
        <v>239</v>
      </c>
      <c r="K79" s="74"/>
      <c r="L79" s="79" t="s">
        <v>476</v>
      </c>
      <c r="M79" s="82">
        <v>45502</v>
      </c>
      <c r="N79" s="70" t="s">
        <v>383</v>
      </c>
      <c r="O79" s="75">
        <v>34415</v>
      </c>
      <c r="P79" s="77"/>
      <c r="Q79" t="str">
        <f>IF(COUNTIF('JAN26'!$G:$G, D79)=0, "Tidak Ada", "Ada")</f>
        <v>Ada</v>
      </c>
    </row>
    <row r="80" spans="1:17">
      <c r="A80" s="70" t="s">
        <v>378</v>
      </c>
      <c r="B80" s="70" t="s">
        <v>379</v>
      </c>
      <c r="C80" s="70">
        <v>4</v>
      </c>
      <c r="D80" s="88" t="s">
        <v>232</v>
      </c>
      <c r="E80" s="71">
        <v>0</v>
      </c>
      <c r="F80" s="71">
        <v>0</v>
      </c>
      <c r="G80" s="71">
        <v>0</v>
      </c>
      <c r="H80" s="72">
        <f t="shared" ca="1" si="11"/>
        <v>1.75</v>
      </c>
      <c r="I80" s="78">
        <v>1342870354</v>
      </c>
      <c r="J80" s="79" t="s">
        <v>231</v>
      </c>
      <c r="K80" s="74"/>
      <c r="L80" s="79" t="s">
        <v>476</v>
      </c>
      <c r="M80" s="75">
        <v>45509</v>
      </c>
      <c r="N80" s="70" t="s">
        <v>383</v>
      </c>
      <c r="O80" s="75">
        <v>30540</v>
      </c>
      <c r="P80" s="77"/>
      <c r="Q80" t="str">
        <f>IF(COUNTIF('JAN26'!$G:$G, D80)=0, "Tidak Ada", "Ada")</f>
        <v>Ada</v>
      </c>
    </row>
    <row r="81" spans="1:17">
      <c r="A81" s="70" t="s">
        <v>378</v>
      </c>
      <c r="B81" s="70" t="s">
        <v>379</v>
      </c>
      <c r="C81" s="70">
        <v>5</v>
      </c>
      <c r="D81" s="70" t="s">
        <v>236</v>
      </c>
      <c r="E81" s="71">
        <v>0</v>
      </c>
      <c r="F81" s="71">
        <v>0</v>
      </c>
      <c r="G81" s="71">
        <v>0</v>
      </c>
      <c r="H81" s="72">
        <f t="shared" ca="1" si="11"/>
        <v>2.9166666666666665</v>
      </c>
      <c r="I81" s="78" t="s">
        <v>237</v>
      </c>
      <c r="J81" s="70" t="s">
        <v>235</v>
      </c>
      <c r="K81" s="74"/>
      <c r="L81" s="79" t="s">
        <v>476</v>
      </c>
      <c r="M81" s="82">
        <v>45079</v>
      </c>
      <c r="N81" s="70" t="s">
        <v>383</v>
      </c>
      <c r="O81" s="75">
        <v>34634</v>
      </c>
      <c r="P81" s="77"/>
      <c r="Q81" t="str">
        <f>IF(COUNTIF('JAN26'!$G:$G, D81)=0, "Tidak Ada", "Ada")</f>
        <v>Ada</v>
      </c>
    </row>
    <row r="82" spans="1:17">
      <c r="A82" s="70" t="s">
        <v>378</v>
      </c>
      <c r="B82" s="70" t="s">
        <v>379</v>
      </c>
      <c r="C82" s="70">
        <v>6</v>
      </c>
      <c r="D82" s="70" t="s">
        <v>244</v>
      </c>
      <c r="E82" s="71">
        <v>0</v>
      </c>
      <c r="F82" s="71">
        <v>0</v>
      </c>
      <c r="G82" s="71">
        <v>0</v>
      </c>
      <c r="H82" s="72">
        <f t="shared" ca="1" si="11"/>
        <v>2</v>
      </c>
      <c r="I82" s="78" t="s">
        <v>245</v>
      </c>
      <c r="J82" s="70" t="s">
        <v>243</v>
      </c>
      <c r="K82" s="74"/>
      <c r="L82" s="79" t="s">
        <v>476</v>
      </c>
      <c r="M82" s="82">
        <v>45419</v>
      </c>
      <c r="N82" s="70" t="s">
        <v>383</v>
      </c>
      <c r="O82" s="75">
        <v>30963</v>
      </c>
      <c r="P82" s="77"/>
      <c r="Q82" t="str">
        <f>IF(COUNTIF('JAN26'!$G:$G, D82)=0, "Tidak Ada", "Ada")</f>
        <v>Ada</v>
      </c>
    </row>
    <row r="83" spans="1:17">
      <c r="A83" s="70" t="s">
        <v>378</v>
      </c>
      <c r="B83" s="70" t="s">
        <v>379</v>
      </c>
      <c r="C83" s="70">
        <v>7</v>
      </c>
      <c r="D83" s="70" t="s">
        <v>248</v>
      </c>
      <c r="E83" s="71">
        <v>0</v>
      </c>
      <c r="F83" s="71">
        <v>0</v>
      </c>
      <c r="G83" s="71">
        <v>0</v>
      </c>
      <c r="H83" s="72">
        <f t="shared" ca="1" si="11"/>
        <v>4.083333333333333</v>
      </c>
      <c r="I83" s="73">
        <v>8180355414</v>
      </c>
      <c r="J83" s="70" t="s">
        <v>247</v>
      </c>
      <c r="K83" s="74"/>
      <c r="L83" s="79" t="s">
        <v>476</v>
      </c>
      <c r="M83" s="75">
        <v>44655</v>
      </c>
      <c r="N83" s="70" t="s">
        <v>383</v>
      </c>
      <c r="O83" s="75">
        <v>35632</v>
      </c>
      <c r="P83" s="77"/>
      <c r="Q83" t="str">
        <f>IF(COUNTIF('JAN26'!$G:$G, D83)=0, "Tidak Ada", "Ada")</f>
        <v>Ada</v>
      </c>
    </row>
    <row r="84" spans="1:17">
      <c r="A84" s="70" t="s">
        <v>378</v>
      </c>
      <c r="B84" s="70" t="s">
        <v>379</v>
      </c>
      <c r="C84" s="70">
        <v>1</v>
      </c>
      <c r="D84" s="70" t="s">
        <v>348</v>
      </c>
      <c r="E84" s="71">
        <v>0</v>
      </c>
      <c r="F84" s="71">
        <v>0</v>
      </c>
      <c r="G84" s="71">
        <v>0</v>
      </c>
      <c r="H84" s="72">
        <f ca="1">((YEAR(TODAY())-YEAR(M84))*12+MONTH(TODAY())-MONTH(M84))/12</f>
        <v>5.583333333333333</v>
      </c>
      <c r="I84" s="73" t="s">
        <v>349</v>
      </c>
      <c r="J84" s="70" t="s">
        <v>347</v>
      </c>
      <c r="K84" s="74">
        <v>46055</v>
      </c>
      <c r="L84" s="70" t="s">
        <v>477</v>
      </c>
      <c r="M84" s="75">
        <v>44106</v>
      </c>
      <c r="N84" s="70" t="s">
        <v>383</v>
      </c>
      <c r="O84" s="75">
        <v>31104</v>
      </c>
      <c r="P84" s="83" t="s">
        <v>416</v>
      </c>
      <c r="Q84" t="str">
        <f>IF(COUNTIF('JAN26'!$G:$G, D84)=0, "Tidak Ada", "Ada")</f>
        <v>Ada</v>
      </c>
    </row>
    <row r="85" spans="1:17">
      <c r="A85" s="70" t="s">
        <v>378</v>
      </c>
      <c r="B85" s="70" t="s">
        <v>379</v>
      </c>
      <c r="C85" s="70">
        <v>2</v>
      </c>
      <c r="D85" s="70" t="s">
        <v>478</v>
      </c>
      <c r="E85" s="71">
        <v>0</v>
      </c>
      <c r="F85" s="71">
        <v>0</v>
      </c>
      <c r="G85" s="71">
        <v>0</v>
      </c>
      <c r="H85" s="72">
        <f t="shared" ref="H85:H87" ca="1" si="12">((YEAR(TODAY())-YEAR(M85))*12+MONTH(TODAY())-MONTH(M85))/12</f>
        <v>3.6666666666666665</v>
      </c>
      <c r="I85" s="73" t="s">
        <v>479</v>
      </c>
      <c r="J85" s="70" t="s">
        <v>480</v>
      </c>
      <c r="K85" s="74"/>
      <c r="L85" s="70" t="s">
        <v>481</v>
      </c>
      <c r="M85" s="75">
        <v>44816</v>
      </c>
      <c r="N85" s="70" t="s">
        <v>383</v>
      </c>
      <c r="O85" s="75">
        <v>30884</v>
      </c>
      <c r="P85" s="77"/>
      <c r="Q85" t="str">
        <f>IF(COUNTIF('JAN26'!$G:$G, D85)=0, "Tidak Ada", "Ada")</f>
        <v>Ada</v>
      </c>
    </row>
    <row r="86" spans="1:17">
      <c r="A86" s="70" t="s">
        <v>378</v>
      </c>
      <c r="B86" s="70" t="s">
        <v>379</v>
      </c>
      <c r="C86" s="70">
        <v>3</v>
      </c>
      <c r="D86" s="70" t="s">
        <v>345</v>
      </c>
      <c r="E86" s="71">
        <v>0</v>
      </c>
      <c r="F86" s="71">
        <v>0</v>
      </c>
      <c r="G86" s="71">
        <v>0</v>
      </c>
      <c r="H86" s="72">
        <f t="shared" ca="1" si="12"/>
        <v>3.5833333333333335</v>
      </c>
      <c r="I86" s="73">
        <v>2030529947</v>
      </c>
      <c r="J86" s="70" t="s">
        <v>344</v>
      </c>
      <c r="K86" s="74"/>
      <c r="L86" s="70" t="s">
        <v>477</v>
      </c>
      <c r="M86" s="75">
        <v>44835</v>
      </c>
      <c r="N86" s="70" t="s">
        <v>383</v>
      </c>
      <c r="O86" s="75">
        <v>34715</v>
      </c>
      <c r="P86" s="77"/>
      <c r="Q86" t="str">
        <f>IF(COUNTIF('JAN26'!$G:$G, D86)=0, "Tidak Ada", "Ada")</f>
        <v>Ada</v>
      </c>
    </row>
    <row r="87" spans="1:17" s="46" customFormat="1">
      <c r="A87" s="70" t="s">
        <v>378</v>
      </c>
      <c r="B87" s="70" t="s">
        <v>379</v>
      </c>
      <c r="C87" s="70">
        <v>4</v>
      </c>
      <c r="D87" s="91" t="s">
        <v>352</v>
      </c>
      <c r="E87" s="71">
        <v>0</v>
      </c>
      <c r="F87" s="71">
        <v>0</v>
      </c>
      <c r="G87" s="71">
        <v>0</v>
      </c>
      <c r="H87" s="72">
        <f t="shared" ca="1" si="12"/>
        <v>1</v>
      </c>
      <c r="I87" s="92" t="s">
        <v>353</v>
      </c>
      <c r="J87" s="91" t="s">
        <v>482</v>
      </c>
      <c r="K87" s="74">
        <v>46083</v>
      </c>
      <c r="L87" s="70" t="s">
        <v>477</v>
      </c>
      <c r="M87" s="93">
        <v>45803</v>
      </c>
      <c r="N87" s="91" t="s">
        <v>383</v>
      </c>
      <c r="O87" s="81">
        <v>34084</v>
      </c>
      <c r="P87" s="83" t="s">
        <v>416</v>
      </c>
      <c r="Q87" t="str">
        <f>IF(COUNTIF('JAN26'!$G:$G, D87)=0, "Tidak Ada", "Ada")</f>
        <v>Ada</v>
      </c>
    </row>
    <row r="88" spans="1:17">
      <c r="A88" s="70" t="s">
        <v>378</v>
      </c>
      <c r="B88" s="70" t="s">
        <v>379</v>
      </c>
      <c r="C88" s="70">
        <v>1</v>
      </c>
      <c r="D88" s="70" t="s">
        <v>483</v>
      </c>
      <c r="E88" s="71">
        <v>0</v>
      </c>
      <c r="F88" s="71">
        <v>0</v>
      </c>
      <c r="G88" s="71">
        <v>0</v>
      </c>
      <c r="H88" s="72">
        <f ca="1">((YEAR(TODAY())-YEAR(M88))*12+MONTH(TODAY())-MONTH(M88))/12</f>
        <v>6.583333333333333</v>
      </c>
      <c r="I88" s="73" t="s">
        <v>484</v>
      </c>
      <c r="J88" s="70" t="s">
        <v>485</v>
      </c>
      <c r="K88" s="74"/>
      <c r="L88" s="70" t="s">
        <v>486</v>
      </c>
      <c r="M88" s="75">
        <v>43740</v>
      </c>
      <c r="N88" s="70" t="s">
        <v>383</v>
      </c>
      <c r="O88" s="75">
        <v>30524</v>
      </c>
      <c r="P88" s="77"/>
      <c r="Q88" t="str">
        <f>IF(COUNTIF('JAN26'!$G:$G, D88)=0, "Tidak Ada", "Ada")</f>
        <v>Ada</v>
      </c>
    </row>
    <row r="89" spans="1:17">
      <c r="A89" s="70" t="s">
        <v>378</v>
      </c>
      <c r="B89" s="70" t="s">
        <v>379</v>
      </c>
      <c r="C89" s="70">
        <v>2</v>
      </c>
      <c r="D89" s="70" t="s">
        <v>300</v>
      </c>
      <c r="E89" s="71">
        <v>0</v>
      </c>
      <c r="F89" s="71">
        <v>0</v>
      </c>
      <c r="G89" s="71">
        <v>0</v>
      </c>
      <c r="H89" s="72">
        <f t="shared" ref="H89:H92" ca="1" si="13">((YEAR(TODAY())-YEAR(M89))*12+MONTH(TODAY())-MONTH(M89))/12</f>
        <v>3.9166666666666665</v>
      </c>
      <c r="I89" s="73">
        <v>3210914411</v>
      </c>
      <c r="J89" s="70" t="s">
        <v>299</v>
      </c>
      <c r="K89" s="74"/>
      <c r="L89" s="70" t="s">
        <v>487</v>
      </c>
      <c r="M89" s="75">
        <v>44734</v>
      </c>
      <c r="N89" s="70" t="s">
        <v>383</v>
      </c>
      <c r="O89" s="75">
        <v>33922</v>
      </c>
      <c r="P89" s="77"/>
      <c r="Q89" t="str">
        <f>IF(COUNTIF('JAN26'!$G:$G, D89)=0, "Tidak Ada", "Ada")</f>
        <v>Ada</v>
      </c>
    </row>
    <row r="90" spans="1:17">
      <c r="A90" s="70" t="s">
        <v>378</v>
      </c>
      <c r="B90" s="70" t="s">
        <v>379</v>
      </c>
      <c r="C90" s="70">
        <v>3</v>
      </c>
      <c r="D90" s="70" t="s">
        <v>296</v>
      </c>
      <c r="E90" s="71">
        <v>0</v>
      </c>
      <c r="F90" s="71">
        <v>0</v>
      </c>
      <c r="G90" s="71">
        <v>0</v>
      </c>
      <c r="H90" s="72">
        <f t="shared" ca="1" si="13"/>
        <v>1.9166666666666667</v>
      </c>
      <c r="I90" s="78" t="s">
        <v>297</v>
      </c>
      <c r="J90" s="70" t="s">
        <v>295</v>
      </c>
      <c r="K90" s="74"/>
      <c r="L90" s="70" t="s">
        <v>487</v>
      </c>
      <c r="M90" s="75">
        <v>45468</v>
      </c>
      <c r="N90" s="70" t="s">
        <v>383</v>
      </c>
      <c r="O90" s="75">
        <v>32215</v>
      </c>
      <c r="P90" s="77"/>
      <c r="Q90" t="str">
        <f>IF(COUNTIF('JAN26'!$G:$G, D90)=0, "Tidak Ada", "Ada")</f>
        <v>Ada</v>
      </c>
    </row>
    <row r="91" spans="1:17">
      <c r="A91" s="70" t="s">
        <v>378</v>
      </c>
      <c r="B91" s="70" t="s">
        <v>379</v>
      </c>
      <c r="C91" s="70">
        <v>4</v>
      </c>
      <c r="D91" s="88" t="s">
        <v>303</v>
      </c>
      <c r="E91" s="89">
        <v>0</v>
      </c>
      <c r="F91" s="89">
        <v>0</v>
      </c>
      <c r="G91" s="89">
        <v>0</v>
      </c>
      <c r="H91" s="72">
        <f t="shared" ca="1" si="13"/>
        <v>1.6666666666666667</v>
      </c>
      <c r="I91" s="78">
        <v>541384501</v>
      </c>
      <c r="J91" s="79" t="s">
        <v>302</v>
      </c>
      <c r="K91" s="74"/>
      <c r="L91" s="70" t="s">
        <v>487</v>
      </c>
      <c r="M91" s="75">
        <v>45558</v>
      </c>
      <c r="N91" s="70" t="s">
        <v>383</v>
      </c>
      <c r="O91" s="75">
        <v>33716</v>
      </c>
      <c r="P91" s="77"/>
      <c r="Q91" t="str">
        <f>IF(COUNTIF('JAN26'!$G:$G, D91)=0, "Tidak Ada", "Ada")</f>
        <v>Ada</v>
      </c>
    </row>
    <row r="92" spans="1:17">
      <c r="A92" s="70" t="s">
        <v>378</v>
      </c>
      <c r="B92" s="70" t="s">
        <v>379</v>
      </c>
      <c r="C92" s="70">
        <v>5</v>
      </c>
      <c r="D92" s="88" t="s">
        <v>311</v>
      </c>
      <c r="E92" s="89">
        <v>0</v>
      </c>
      <c r="F92" s="89">
        <v>0</v>
      </c>
      <c r="G92" s="89">
        <v>0</v>
      </c>
      <c r="H92" s="72">
        <f t="shared" ca="1" si="13"/>
        <v>1.3333333333333333</v>
      </c>
      <c r="I92" s="78" t="s">
        <v>312</v>
      </c>
      <c r="J92" s="79" t="s">
        <v>488</v>
      </c>
      <c r="K92" s="74"/>
      <c r="L92" s="70" t="s">
        <v>487</v>
      </c>
      <c r="M92" s="75">
        <v>45679</v>
      </c>
      <c r="N92" s="70" t="s">
        <v>383</v>
      </c>
      <c r="O92" s="75">
        <v>34061</v>
      </c>
      <c r="P92" s="77"/>
      <c r="Q92" t="str">
        <f>IF(COUNTIF('JAN26'!$G:$G, D92)=0, "Tidak Ada", "Ada")</f>
        <v>Ada</v>
      </c>
    </row>
    <row r="93" spans="1:17">
      <c r="A93" s="70" t="s">
        <v>378</v>
      </c>
      <c r="B93" s="70" t="s">
        <v>379</v>
      </c>
      <c r="C93" s="70">
        <v>6</v>
      </c>
      <c r="D93" s="88" t="s">
        <v>307</v>
      </c>
      <c r="E93" s="89">
        <v>0</v>
      </c>
      <c r="F93" s="89">
        <v>0</v>
      </c>
      <c r="G93" s="89">
        <v>0</v>
      </c>
      <c r="H93" s="72">
        <f ca="1">((YEAR(TODAY())-YEAR(M93))*12+MONTH(TODAY())-MONTH(M93))/12</f>
        <v>0.91666666666666663</v>
      </c>
      <c r="I93" s="78" t="s">
        <v>308</v>
      </c>
      <c r="J93" s="79" t="s">
        <v>306</v>
      </c>
      <c r="K93" s="74"/>
      <c r="L93" s="70" t="s">
        <v>487</v>
      </c>
      <c r="M93" s="97">
        <v>45820</v>
      </c>
      <c r="N93" s="70" t="s">
        <v>383</v>
      </c>
      <c r="O93" s="75">
        <v>32711</v>
      </c>
      <c r="P93" s="77"/>
      <c r="Q93" t="str">
        <f>IF(COUNTIF('JAN26'!$G:$G, D93)=0, "Tidak Ada", "Ada")</f>
        <v>Ada</v>
      </c>
    </row>
    <row r="94" spans="1:17">
      <c r="A94" s="70" t="s">
        <v>378</v>
      </c>
      <c r="B94" s="70" t="s">
        <v>379</v>
      </c>
      <c r="C94" s="70">
        <v>1</v>
      </c>
      <c r="D94" s="70" t="s">
        <v>489</v>
      </c>
      <c r="E94" s="71">
        <v>0</v>
      </c>
      <c r="F94" s="71">
        <v>0</v>
      </c>
      <c r="G94" s="71">
        <v>0</v>
      </c>
      <c r="H94" s="72">
        <f t="shared" ref="H94:H98" ca="1" si="14">((YEAR(TODAY())-YEAR(M94))*12+MONTH(TODAY())-MONTH(M94))/12</f>
        <v>6.833333333333333</v>
      </c>
      <c r="I94" s="73" t="s">
        <v>490</v>
      </c>
      <c r="J94" s="70" t="s">
        <v>491</v>
      </c>
      <c r="K94" s="74"/>
      <c r="L94" s="70" t="s">
        <v>492</v>
      </c>
      <c r="M94" s="75">
        <v>43675</v>
      </c>
      <c r="N94" s="70" t="s">
        <v>383</v>
      </c>
      <c r="O94" s="75">
        <v>29170</v>
      </c>
      <c r="P94" s="77"/>
      <c r="Q94" t="str">
        <f>IF(COUNTIF('JAN26'!$G:$G, D94)=0, "Tidak Ada", "Ada")</f>
        <v>Ada</v>
      </c>
    </row>
    <row r="95" spans="1:17">
      <c r="A95" s="70" t="s">
        <v>378</v>
      </c>
      <c r="B95" s="70" t="s">
        <v>379</v>
      </c>
      <c r="C95" s="70">
        <v>2</v>
      </c>
      <c r="D95" s="70" t="s">
        <v>337</v>
      </c>
      <c r="E95" s="71">
        <v>0</v>
      </c>
      <c r="F95" s="71">
        <v>0</v>
      </c>
      <c r="G95" s="71">
        <v>0</v>
      </c>
      <c r="H95" s="72">
        <f t="shared" ca="1" si="14"/>
        <v>0.91666666666666663</v>
      </c>
      <c r="I95" s="73" t="s">
        <v>338</v>
      </c>
      <c r="J95" s="70" t="s">
        <v>336</v>
      </c>
      <c r="K95" s="74"/>
      <c r="L95" s="91" t="s">
        <v>493</v>
      </c>
      <c r="M95" s="75">
        <v>45824</v>
      </c>
      <c r="N95" s="70" t="s">
        <v>383</v>
      </c>
      <c r="O95" s="75">
        <v>31302</v>
      </c>
      <c r="P95" s="77"/>
      <c r="Q95" t="str">
        <f>IF(COUNTIF('JAN26'!$G:$G, D95)=0, "Tidak Ada", "Ada")</f>
        <v>Ada</v>
      </c>
    </row>
    <row r="96" spans="1:17" s="46" customFormat="1">
      <c r="A96" s="70" t="s">
        <v>378</v>
      </c>
      <c r="B96" s="70" t="s">
        <v>379</v>
      </c>
      <c r="C96" s="70">
        <v>3</v>
      </c>
      <c r="D96" s="91" t="s">
        <v>329</v>
      </c>
      <c r="E96" s="71">
        <v>0</v>
      </c>
      <c r="F96" s="71">
        <v>0</v>
      </c>
      <c r="G96" s="71">
        <v>0</v>
      </c>
      <c r="H96" s="72">
        <f t="shared" ca="1" si="14"/>
        <v>3.4166666666666665</v>
      </c>
      <c r="I96" s="92" t="s">
        <v>330</v>
      </c>
      <c r="J96" s="91" t="s">
        <v>494</v>
      </c>
      <c r="K96" s="74">
        <v>46128</v>
      </c>
      <c r="L96" s="70" t="s">
        <v>493</v>
      </c>
      <c r="M96" s="93">
        <v>44907</v>
      </c>
      <c r="N96" s="91" t="s">
        <v>383</v>
      </c>
      <c r="O96" s="93">
        <v>32478</v>
      </c>
      <c r="P96" s="77"/>
      <c r="Q96" t="str">
        <f>IF(COUNTIF('JAN26'!$G:$G, D96)=0, "Tidak Ada", "Ada")</f>
        <v>Ada</v>
      </c>
    </row>
    <row r="97" spans="1:17" s="46" customFormat="1">
      <c r="A97" s="70" t="s">
        <v>378</v>
      </c>
      <c r="B97" s="70" t="s">
        <v>379</v>
      </c>
      <c r="C97" s="70">
        <v>4</v>
      </c>
      <c r="D97" s="91" t="s">
        <v>333</v>
      </c>
      <c r="E97" s="71">
        <v>0</v>
      </c>
      <c r="F97" s="71">
        <v>0</v>
      </c>
      <c r="G97" s="71">
        <v>0</v>
      </c>
      <c r="H97" s="72">
        <f t="shared" ca="1" si="14"/>
        <v>0.58333333333333337</v>
      </c>
      <c r="I97" s="92" t="s">
        <v>334</v>
      </c>
      <c r="J97" s="91" t="s">
        <v>495</v>
      </c>
      <c r="K97" s="74">
        <v>46118</v>
      </c>
      <c r="L97" s="70" t="s">
        <v>493</v>
      </c>
      <c r="M97" s="93">
        <v>45936</v>
      </c>
      <c r="N97" s="91" t="s">
        <v>383</v>
      </c>
      <c r="O97" s="93">
        <v>33531</v>
      </c>
      <c r="P97" s="77"/>
      <c r="Q97" t="str">
        <f>IF(COUNTIF('JAN26'!$G:$G, D97)=0, "Tidak Ada", "Ada")</f>
        <v>Ada</v>
      </c>
    </row>
    <row r="98" spans="1:17" s="46" customFormat="1">
      <c r="A98" s="70" t="s">
        <v>378</v>
      </c>
      <c r="B98" s="70" t="s">
        <v>379</v>
      </c>
      <c r="C98" s="70">
        <v>5</v>
      </c>
      <c r="D98" s="85" t="s">
        <v>496</v>
      </c>
      <c r="E98" s="71">
        <v>0</v>
      </c>
      <c r="F98" s="71">
        <v>0</v>
      </c>
      <c r="G98" s="71">
        <v>0</v>
      </c>
      <c r="H98" s="72">
        <f t="shared" ca="1" si="14"/>
        <v>0.41666666666666669</v>
      </c>
      <c r="I98" s="85" t="s">
        <v>497</v>
      </c>
      <c r="J98" s="91" t="s">
        <v>498</v>
      </c>
      <c r="K98" s="74"/>
      <c r="L98" s="70" t="s">
        <v>493</v>
      </c>
      <c r="M98" s="80">
        <v>46015</v>
      </c>
      <c r="N98" s="91" t="s">
        <v>383</v>
      </c>
      <c r="O98" s="80">
        <v>31672</v>
      </c>
      <c r="P98" s="77"/>
      <c r="Q98" t="str">
        <f>IF(COUNTIF('JAN26'!$G:$G, D98)=0, "Tidak Ada", "Ada")</f>
        <v>Ada</v>
      </c>
    </row>
    <row r="99" spans="1:17">
      <c r="A99" s="70" t="s">
        <v>378</v>
      </c>
      <c r="B99" s="70" t="s">
        <v>379</v>
      </c>
      <c r="C99" s="70">
        <v>6</v>
      </c>
      <c r="D99" s="70" t="s">
        <v>341</v>
      </c>
      <c r="E99" s="71">
        <v>0</v>
      </c>
      <c r="F99" s="71">
        <v>0</v>
      </c>
      <c r="G99" s="71">
        <v>0</v>
      </c>
      <c r="H99" s="72">
        <f ca="1">((YEAR(TODAY())-YEAR(M99))*12+MONTH(TODAY())-MONTH(M99))/12</f>
        <v>0.41666666666666669</v>
      </c>
      <c r="I99" s="78" t="s">
        <v>342</v>
      </c>
      <c r="J99" s="79" t="s">
        <v>499</v>
      </c>
      <c r="K99" s="98"/>
      <c r="L99" s="70" t="s">
        <v>493</v>
      </c>
      <c r="M99" s="82">
        <v>45996</v>
      </c>
      <c r="N99" s="70" t="s">
        <v>383</v>
      </c>
      <c r="O99" s="80">
        <v>33006</v>
      </c>
      <c r="P99" s="77"/>
      <c r="Q99" t="str">
        <f>IF(COUNTIF('JAN26'!$G:$G, D99)=0, "Tidak Ada", "Ada")</f>
        <v>Ada</v>
      </c>
    </row>
    <row r="100" spans="1:17">
      <c r="A100" s="70" t="s">
        <v>378</v>
      </c>
      <c r="B100" s="70" t="s">
        <v>379</v>
      </c>
      <c r="C100" s="70">
        <v>1</v>
      </c>
      <c r="D100" s="70" t="s">
        <v>500</v>
      </c>
      <c r="E100" s="71">
        <v>0</v>
      </c>
      <c r="F100" s="71">
        <v>0</v>
      </c>
      <c r="G100" s="71">
        <v>0</v>
      </c>
      <c r="H100" s="72">
        <f ca="1">((YEAR(TODAY())-YEAR(M100))*12+MONTH(TODAY())-MONTH(M100))/12</f>
        <v>6.583333333333333</v>
      </c>
      <c r="I100" s="73">
        <v>2090538252</v>
      </c>
      <c r="J100" s="70" t="s">
        <v>501</v>
      </c>
      <c r="K100" s="74"/>
      <c r="L100" s="70" t="s">
        <v>502</v>
      </c>
      <c r="M100" s="75">
        <v>43740</v>
      </c>
      <c r="N100" s="70" t="s">
        <v>383</v>
      </c>
      <c r="O100" s="75">
        <v>32176</v>
      </c>
      <c r="P100" s="77"/>
      <c r="Q100" t="str">
        <f>IF(COUNTIF('JAN26'!$G:$G, D100)=0, "Tidak Ada", "Ada")</f>
        <v>Ada</v>
      </c>
    </row>
    <row r="101" spans="1:17">
      <c r="A101" s="70" t="s">
        <v>378</v>
      </c>
      <c r="B101" s="70" t="s">
        <v>379</v>
      </c>
      <c r="C101" s="70">
        <v>2</v>
      </c>
      <c r="D101" s="70" t="s">
        <v>319</v>
      </c>
      <c r="E101" s="71">
        <v>0</v>
      </c>
      <c r="F101" s="71">
        <v>0</v>
      </c>
      <c r="G101" s="71">
        <v>0</v>
      </c>
      <c r="H101" s="72">
        <f t="shared" ref="H101:H103" ca="1" si="15">((YEAR(TODAY())-YEAR(M101))*12+MONTH(TODAY())-MONTH(M101))/12</f>
        <v>3.75</v>
      </c>
      <c r="I101" s="73">
        <v>3210939872</v>
      </c>
      <c r="J101" s="70" t="s">
        <v>318</v>
      </c>
      <c r="K101" s="74"/>
      <c r="L101" s="70" t="s">
        <v>503</v>
      </c>
      <c r="M101" s="75">
        <v>44781</v>
      </c>
      <c r="N101" s="70" t="s">
        <v>383</v>
      </c>
      <c r="O101" s="75">
        <v>36832</v>
      </c>
      <c r="P101" s="77"/>
      <c r="Q101" t="str">
        <f>IF(COUNTIF('JAN26'!$G:$G, D101)=0, "Tidak Ada", "Ada")</f>
        <v>Ada</v>
      </c>
    </row>
    <row r="102" spans="1:17">
      <c r="A102" s="70" t="s">
        <v>378</v>
      </c>
      <c r="B102" s="70" t="s">
        <v>379</v>
      </c>
      <c r="C102" s="70">
        <v>3</v>
      </c>
      <c r="D102" s="70" t="s">
        <v>315</v>
      </c>
      <c r="E102" s="71">
        <v>0</v>
      </c>
      <c r="F102" s="71">
        <v>0</v>
      </c>
      <c r="G102" s="71">
        <v>0</v>
      </c>
      <c r="H102" s="72">
        <f t="shared" ca="1" si="15"/>
        <v>4.416666666666667</v>
      </c>
      <c r="I102" s="73" t="s">
        <v>316</v>
      </c>
      <c r="J102" s="70" t="s">
        <v>314</v>
      </c>
      <c r="K102" s="74"/>
      <c r="L102" s="70" t="s">
        <v>503</v>
      </c>
      <c r="M102" s="75">
        <v>44533</v>
      </c>
      <c r="N102" s="70" t="s">
        <v>383</v>
      </c>
      <c r="O102" s="75">
        <v>34062</v>
      </c>
      <c r="P102" s="77"/>
      <c r="Q102" t="str">
        <f>IF(COUNTIF('JAN26'!$G:$G, D102)=0, "Tidak Ada", "Ada")</f>
        <v>Ada</v>
      </c>
    </row>
    <row r="103" spans="1:17">
      <c r="A103" s="99" t="s">
        <v>378</v>
      </c>
      <c r="B103" s="99" t="s">
        <v>379</v>
      </c>
      <c r="C103" s="99">
        <v>4</v>
      </c>
      <c r="D103" s="99" t="s">
        <v>322</v>
      </c>
      <c r="E103" s="100">
        <v>0</v>
      </c>
      <c r="F103" s="100">
        <v>0</v>
      </c>
      <c r="G103" s="100">
        <v>0</v>
      </c>
      <c r="H103" s="101">
        <f t="shared" ca="1" si="15"/>
        <v>0.91666666666666663</v>
      </c>
      <c r="I103" s="102" t="s">
        <v>323</v>
      </c>
      <c r="J103" s="99" t="s">
        <v>321</v>
      </c>
      <c r="K103" s="103"/>
      <c r="L103" s="99" t="s">
        <v>477</v>
      </c>
      <c r="M103" s="104">
        <v>45824</v>
      </c>
      <c r="N103" s="99" t="s">
        <v>383</v>
      </c>
      <c r="O103" s="104">
        <v>30169</v>
      </c>
      <c r="P103" s="105"/>
      <c r="Q103" t="str">
        <f>IF(COUNTIF('JAN26'!$G:$G, D103)=0, "Tidak Ada", "Ada")</f>
        <v>Ada</v>
      </c>
    </row>
    <row r="104" spans="1:17">
      <c r="P104" s="46"/>
    </row>
    <row r="105" spans="1:17">
      <c r="P105" s="46"/>
    </row>
    <row r="106" spans="1:17">
      <c r="P106" s="46"/>
    </row>
    <row r="107" spans="1:17">
      <c r="P107" s="46"/>
    </row>
    <row r="108" spans="1:17">
      <c r="P108" s="46"/>
    </row>
  </sheetData>
  <autoFilter ref="Q1:Q172" xr:uid="{F4DADBF5-A120-444E-817E-ABAE2B027589}"/>
  <printOptions horizontalCentered="1"/>
  <pageMargins left="0" right="0" top="0.31496062992125984" bottom="0.31496062992125984" header="0" footer="0"/>
  <pageSetup paperSize="9" scale="74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10CE05-9D54-4C26-AB5F-6FC2E4917E14}">
  <dimension ref="A1:XFD23"/>
  <sheetViews>
    <sheetView topLeftCell="G1" zoomScaleNormal="100" workbookViewId="0">
      <selection activeCell="D18" sqref="D18"/>
    </sheetView>
  </sheetViews>
  <sheetFormatPr defaultColWidth="0" defaultRowHeight="15"/>
  <cols>
    <col min="1" max="1" width="6.140625" customWidth="1"/>
    <col min="2" max="2" width="7.5703125" customWidth="1"/>
    <col min="3" max="3" width="13.85546875" customWidth="1"/>
    <col min="4" max="4" width="25.42578125" customWidth="1"/>
    <col min="5" max="5" width="14.5703125" customWidth="1"/>
    <col min="6" max="6" width="5.28515625" customWidth="1"/>
    <col min="7" max="7" width="13.85546875" customWidth="1"/>
    <col min="8" max="8" width="13.28515625" customWidth="1"/>
    <col min="9" max="9" width="14.28515625" customWidth="1"/>
    <col min="10" max="10" width="23.7109375" customWidth="1"/>
    <col min="11" max="11" width="12" customWidth="1"/>
    <col min="12" max="12" width="53.28515625" customWidth="1"/>
    <col min="13" max="13" width="12" customWidth="1"/>
    <col min="14" max="14" width="9.140625" customWidth="1"/>
    <col min="15" max="15" width="10.42578125" customWidth="1"/>
    <col min="16" max="16" width="13.28515625" customWidth="1"/>
    <col min="17" max="17" width="9.140625" style="106" customWidth="1"/>
    <col min="18" max="16384" width="0" style="106" hidden="1"/>
  </cols>
  <sheetData>
    <row r="1" spans="1:16">
      <c r="A1" s="40" t="s">
        <v>523</v>
      </c>
      <c r="B1" s="40"/>
      <c r="C1" s="40"/>
      <c r="D1" s="40"/>
      <c r="E1" s="194"/>
      <c r="F1" s="194"/>
      <c r="G1" s="194"/>
      <c r="H1" s="194"/>
      <c r="I1" s="194"/>
      <c r="J1" s="194"/>
      <c r="K1" s="194"/>
      <c r="L1" s="194"/>
      <c r="M1" s="194"/>
      <c r="N1" s="194"/>
      <c r="O1" s="194"/>
      <c r="P1" s="194"/>
    </row>
    <row r="2" spans="1:16">
      <c r="A2" s="194"/>
      <c r="B2" s="194"/>
      <c r="C2" s="194"/>
      <c r="D2" s="194"/>
      <c r="E2" s="194"/>
      <c r="F2" s="194"/>
      <c r="G2" s="194"/>
      <c r="H2" s="194"/>
      <c r="I2" s="194"/>
      <c r="J2" s="194"/>
      <c r="K2" s="194"/>
      <c r="L2" s="194"/>
      <c r="M2" s="194"/>
      <c r="N2" s="194"/>
      <c r="O2" s="194"/>
      <c r="P2" s="194"/>
    </row>
    <row r="3" spans="1:16" s="164" customFormat="1">
      <c r="A3" s="117" t="s">
        <v>366</v>
      </c>
      <c r="B3" s="118" t="s">
        <v>367</v>
      </c>
      <c r="C3" s="118" t="s">
        <v>368</v>
      </c>
      <c r="D3" s="118" t="s">
        <v>6</v>
      </c>
      <c r="E3" s="119" t="s">
        <v>512</v>
      </c>
      <c r="F3" s="120" t="s">
        <v>513</v>
      </c>
      <c r="G3" s="120" t="s">
        <v>514</v>
      </c>
      <c r="H3" s="118" t="s">
        <v>369</v>
      </c>
      <c r="I3" s="118" t="s">
        <v>370</v>
      </c>
      <c r="J3" s="118" t="s">
        <v>371</v>
      </c>
      <c r="K3" s="121" t="s">
        <v>372</v>
      </c>
      <c r="L3" s="118" t="s">
        <v>373</v>
      </c>
      <c r="M3" s="122" t="s">
        <v>374</v>
      </c>
      <c r="N3" s="118" t="s">
        <v>375</v>
      </c>
      <c r="O3" s="121" t="s">
        <v>376</v>
      </c>
      <c r="P3" s="123" t="s">
        <v>377</v>
      </c>
    </row>
    <row r="4" spans="1:16">
      <c r="A4" s="191" t="s">
        <v>378</v>
      </c>
      <c r="B4" s="151" t="s">
        <v>379</v>
      </c>
      <c r="C4" s="151">
        <v>1</v>
      </c>
      <c r="D4" s="151" t="s">
        <v>391</v>
      </c>
      <c r="E4" s="148">
        <v>0</v>
      </c>
      <c r="F4" s="148">
        <v>0</v>
      </c>
      <c r="G4" s="148">
        <v>0</v>
      </c>
      <c r="H4" s="163">
        <v>2.75</v>
      </c>
      <c r="I4" s="128" t="s">
        <v>125</v>
      </c>
      <c r="J4" s="151" t="s">
        <v>392</v>
      </c>
      <c r="K4" s="158"/>
      <c r="L4" s="151" t="s">
        <v>393</v>
      </c>
      <c r="M4" s="161">
        <v>45169</v>
      </c>
      <c r="N4" s="151" t="s">
        <v>383</v>
      </c>
      <c r="O4" s="161">
        <v>32129</v>
      </c>
      <c r="P4" s="181"/>
    </row>
    <row r="5" spans="1:16">
      <c r="A5" s="191" t="s">
        <v>378</v>
      </c>
      <c r="B5" s="151" t="s">
        <v>379</v>
      </c>
      <c r="C5" s="151">
        <v>7</v>
      </c>
      <c r="D5" s="151" t="s">
        <v>436</v>
      </c>
      <c r="E5" s="137">
        <v>0</v>
      </c>
      <c r="F5" s="137">
        <v>0</v>
      </c>
      <c r="G5" s="137">
        <v>0</v>
      </c>
      <c r="H5" s="163">
        <v>0.33333333333333331</v>
      </c>
      <c r="I5" s="162" t="s">
        <v>437</v>
      </c>
      <c r="J5" s="151" t="s">
        <v>438</v>
      </c>
      <c r="K5" s="158"/>
      <c r="L5" s="151" t="s">
        <v>431</v>
      </c>
      <c r="M5" s="158">
        <v>46051</v>
      </c>
      <c r="N5" s="151" t="s">
        <v>383</v>
      </c>
      <c r="O5" s="158">
        <v>35117</v>
      </c>
      <c r="P5" s="181"/>
    </row>
    <row r="6" spans="1:16">
      <c r="A6" s="191" t="s">
        <v>378</v>
      </c>
      <c r="B6" s="151" t="s">
        <v>379</v>
      </c>
      <c r="C6" s="151">
        <v>1</v>
      </c>
      <c r="D6" s="151" t="s">
        <v>461</v>
      </c>
      <c r="E6" s="148">
        <v>0</v>
      </c>
      <c r="F6" s="148">
        <v>0</v>
      </c>
      <c r="G6" s="148">
        <v>0</v>
      </c>
      <c r="H6" s="163">
        <v>4.083333333333333</v>
      </c>
      <c r="I6" s="128">
        <v>8180379941</v>
      </c>
      <c r="J6" s="151" t="s">
        <v>462</v>
      </c>
      <c r="K6" s="158"/>
      <c r="L6" s="151" t="s">
        <v>463</v>
      </c>
      <c r="M6" s="161">
        <v>44669</v>
      </c>
      <c r="N6" s="151" t="s">
        <v>383</v>
      </c>
      <c r="O6" s="161">
        <v>28678</v>
      </c>
      <c r="P6" s="181"/>
    </row>
    <row r="7" spans="1:16">
      <c r="A7" s="191" t="s">
        <v>378</v>
      </c>
      <c r="B7" s="151" t="s">
        <v>379</v>
      </c>
      <c r="C7" s="151">
        <v>3</v>
      </c>
      <c r="D7" s="151" t="s">
        <v>465</v>
      </c>
      <c r="E7" s="148">
        <v>0</v>
      </c>
      <c r="F7" s="148">
        <v>0</v>
      </c>
      <c r="G7" s="148">
        <v>0</v>
      </c>
      <c r="H7" s="163">
        <v>4.166666666666667</v>
      </c>
      <c r="I7" s="128">
        <v>8180374729</v>
      </c>
      <c r="J7" s="151" t="s">
        <v>466</v>
      </c>
      <c r="K7" s="158"/>
      <c r="L7" s="151" t="s">
        <v>467</v>
      </c>
      <c r="M7" s="161">
        <v>44645</v>
      </c>
      <c r="N7" s="151" t="s">
        <v>383</v>
      </c>
      <c r="O7" s="161">
        <v>33527</v>
      </c>
      <c r="P7" s="181"/>
    </row>
    <row r="8" spans="1:16">
      <c r="A8" s="191" t="s">
        <v>378</v>
      </c>
      <c r="B8" s="151" t="s">
        <v>379</v>
      </c>
      <c r="C8" s="151">
        <v>1</v>
      </c>
      <c r="D8" s="151" t="s">
        <v>468</v>
      </c>
      <c r="E8" s="148">
        <v>0</v>
      </c>
      <c r="F8" s="148">
        <v>0</v>
      </c>
      <c r="G8" s="148">
        <v>0</v>
      </c>
      <c r="H8" s="163">
        <v>5.833333333333333</v>
      </c>
      <c r="I8" s="128">
        <v>4380053131</v>
      </c>
      <c r="J8" s="151" t="s">
        <v>469</v>
      </c>
      <c r="K8" s="158"/>
      <c r="L8" s="151" t="s">
        <v>470</v>
      </c>
      <c r="M8" s="161">
        <v>44034</v>
      </c>
      <c r="N8" s="151" t="s">
        <v>383</v>
      </c>
      <c r="O8" s="161">
        <v>32802</v>
      </c>
      <c r="P8" s="181"/>
    </row>
    <row r="9" spans="1:16">
      <c r="A9" s="191" t="s">
        <v>378</v>
      </c>
      <c r="B9" s="151" t="s">
        <v>379</v>
      </c>
      <c r="C9" s="151">
        <v>1</v>
      </c>
      <c r="D9" s="151" t="s">
        <v>473</v>
      </c>
      <c r="E9" s="148">
        <v>0</v>
      </c>
      <c r="F9" s="148">
        <v>0</v>
      </c>
      <c r="G9" s="148">
        <v>0</v>
      </c>
      <c r="H9" s="163">
        <v>3.6666666666666665</v>
      </c>
      <c r="I9" s="128">
        <v>3740904263</v>
      </c>
      <c r="J9" s="151" t="s">
        <v>474</v>
      </c>
      <c r="K9" s="158"/>
      <c r="L9" s="151" t="s">
        <v>475</v>
      </c>
      <c r="M9" s="161">
        <v>44816</v>
      </c>
      <c r="N9" s="151" t="s">
        <v>383</v>
      </c>
      <c r="O9" s="161">
        <v>35010</v>
      </c>
      <c r="P9" s="181"/>
    </row>
    <row r="10" spans="1:16">
      <c r="A10" s="191" t="s">
        <v>378</v>
      </c>
      <c r="B10" s="151" t="s">
        <v>379</v>
      </c>
      <c r="C10" s="151">
        <v>2</v>
      </c>
      <c r="D10" s="151" t="s">
        <v>478</v>
      </c>
      <c r="E10" s="148">
        <v>0</v>
      </c>
      <c r="F10" s="148">
        <v>0</v>
      </c>
      <c r="G10" s="148">
        <v>0</v>
      </c>
      <c r="H10" s="163">
        <v>3.6666666666666665</v>
      </c>
      <c r="I10" s="128" t="s">
        <v>479</v>
      </c>
      <c r="J10" s="151" t="s">
        <v>480</v>
      </c>
      <c r="K10" s="158"/>
      <c r="L10" s="151" t="s">
        <v>481</v>
      </c>
      <c r="M10" s="161">
        <v>44816</v>
      </c>
      <c r="N10" s="151" t="s">
        <v>383</v>
      </c>
      <c r="O10" s="161">
        <v>30884</v>
      </c>
      <c r="P10" s="181"/>
    </row>
    <row r="11" spans="1:16">
      <c r="A11" s="191" t="s">
        <v>378</v>
      </c>
      <c r="B11" s="151" t="s">
        <v>379</v>
      </c>
      <c r="C11" s="151">
        <v>1</v>
      </c>
      <c r="D11" s="151" t="s">
        <v>483</v>
      </c>
      <c r="E11" s="148">
        <v>0</v>
      </c>
      <c r="F11" s="148">
        <v>0</v>
      </c>
      <c r="G11" s="148">
        <v>0</v>
      </c>
      <c r="H11" s="163">
        <v>6.583333333333333</v>
      </c>
      <c r="I11" s="128" t="s">
        <v>484</v>
      </c>
      <c r="J11" s="151" t="s">
        <v>485</v>
      </c>
      <c r="K11" s="158"/>
      <c r="L11" s="151" t="s">
        <v>486</v>
      </c>
      <c r="M11" s="161">
        <v>43740</v>
      </c>
      <c r="N11" s="151" t="s">
        <v>383</v>
      </c>
      <c r="O11" s="161">
        <v>30524</v>
      </c>
      <c r="P11" s="181"/>
    </row>
    <row r="12" spans="1:16">
      <c r="A12" s="191" t="s">
        <v>378</v>
      </c>
      <c r="B12" s="151" t="s">
        <v>379</v>
      </c>
      <c r="C12" s="151">
        <v>1</v>
      </c>
      <c r="D12" s="151" t="s">
        <v>489</v>
      </c>
      <c r="E12" s="148">
        <v>0</v>
      </c>
      <c r="F12" s="148">
        <v>0</v>
      </c>
      <c r="G12" s="148">
        <v>0</v>
      </c>
      <c r="H12" s="163">
        <v>6.833333333333333</v>
      </c>
      <c r="I12" s="128" t="s">
        <v>490</v>
      </c>
      <c r="J12" s="151" t="s">
        <v>491</v>
      </c>
      <c r="K12" s="158"/>
      <c r="L12" s="151" t="s">
        <v>492</v>
      </c>
      <c r="M12" s="161">
        <v>43675</v>
      </c>
      <c r="N12" s="151" t="s">
        <v>383</v>
      </c>
      <c r="O12" s="161">
        <v>29170</v>
      </c>
      <c r="P12" s="181"/>
    </row>
    <row r="13" spans="1:16">
      <c r="A13" s="191" t="s">
        <v>378</v>
      </c>
      <c r="B13" s="151" t="s">
        <v>379</v>
      </c>
      <c r="C13" s="151">
        <v>1</v>
      </c>
      <c r="D13" s="151" t="s">
        <v>500</v>
      </c>
      <c r="E13" s="148">
        <v>0</v>
      </c>
      <c r="F13" s="148">
        <v>0</v>
      </c>
      <c r="G13" s="148">
        <v>0</v>
      </c>
      <c r="H13" s="163">
        <v>6.583333333333333</v>
      </c>
      <c r="I13" s="128">
        <v>2090538252</v>
      </c>
      <c r="J13" s="151" t="s">
        <v>501</v>
      </c>
      <c r="K13" s="158"/>
      <c r="L13" s="151" t="s">
        <v>502</v>
      </c>
      <c r="M13" s="161">
        <v>43740</v>
      </c>
      <c r="N13" s="151" t="s">
        <v>383</v>
      </c>
      <c r="O13" s="161">
        <v>32176</v>
      </c>
      <c r="P13" s="181"/>
    </row>
    <row r="14" spans="1:16" s="204" customFormat="1">
      <c r="A14" s="201"/>
      <c r="B14" s="201"/>
      <c r="C14" s="201"/>
      <c r="D14" s="201"/>
      <c r="E14" s="170"/>
      <c r="F14" s="170"/>
      <c r="G14" s="170"/>
      <c r="H14" s="147"/>
      <c r="I14" s="135"/>
      <c r="J14" s="201"/>
      <c r="K14" s="160"/>
      <c r="L14" s="201"/>
      <c r="M14" s="166"/>
      <c r="N14" s="201"/>
      <c r="O14" s="166"/>
      <c r="P14" s="156"/>
    </row>
    <row r="15" spans="1:16" s="204" customFormat="1">
      <c r="A15" s="192"/>
      <c r="B15" s="192"/>
      <c r="C15" s="192"/>
      <c r="D15" s="192"/>
      <c r="E15" s="170"/>
      <c r="F15" s="170"/>
      <c r="G15" s="170"/>
      <c r="H15" s="147"/>
      <c r="I15" s="135"/>
      <c r="J15" s="201"/>
      <c r="K15" s="160"/>
      <c r="L15" s="201"/>
      <c r="M15" s="166"/>
      <c r="N15" s="201"/>
      <c r="O15" s="166"/>
      <c r="P15" s="156"/>
    </row>
    <row r="16" spans="1:16" s="204" customFormat="1"/>
    <row r="17" spans="1:12" s="204" customFormat="1">
      <c r="A17" s="168"/>
      <c r="B17" s="168"/>
      <c r="C17" s="168"/>
      <c r="D17" s="171"/>
      <c r="E17" s="142"/>
      <c r="F17" s="168"/>
      <c r="G17" s="168"/>
      <c r="H17" s="168"/>
      <c r="I17" s="168"/>
      <c r="J17" s="168"/>
    </row>
    <row r="18" spans="1:12" s="204" customFormat="1" ht="15.75">
      <c r="A18" s="124"/>
      <c r="B18" s="124"/>
      <c r="C18" s="199"/>
      <c r="D18" s="198"/>
      <c r="E18" s="207"/>
      <c r="F18" s="207"/>
      <c r="G18" s="201"/>
      <c r="H18" s="201"/>
      <c r="I18" s="201"/>
      <c r="J18" s="206"/>
      <c r="K18" s="199"/>
      <c r="L18" s="111"/>
    </row>
    <row r="19" spans="1:12" s="204" customFormat="1">
      <c r="A19" s="124"/>
      <c r="B19" s="124"/>
      <c r="C19" s="198"/>
      <c r="D19" s="205"/>
      <c r="E19" s="202"/>
      <c r="F19" s="207"/>
      <c r="G19" s="203"/>
      <c r="H19" s="203"/>
      <c r="I19" s="201"/>
      <c r="J19" s="206"/>
      <c r="K19" s="111"/>
    </row>
    <row r="20" spans="1:12" s="204" customFormat="1">
      <c r="A20" s="124"/>
      <c r="B20" s="124"/>
      <c r="C20" s="198"/>
      <c r="D20" s="201"/>
      <c r="E20" s="202"/>
      <c r="F20" s="207"/>
      <c r="G20" s="203"/>
      <c r="H20" s="203"/>
      <c r="I20" s="201"/>
      <c r="J20" s="206"/>
      <c r="K20" s="114"/>
    </row>
    <row r="21" spans="1:12" s="204" customFormat="1">
      <c r="A21" s="124"/>
      <c r="B21" s="124"/>
      <c r="C21" s="198"/>
      <c r="D21" s="198"/>
      <c r="E21" s="207"/>
      <c r="F21" s="207"/>
      <c r="G21" s="201"/>
      <c r="H21" s="201"/>
      <c r="I21" s="201"/>
      <c r="J21" s="206"/>
      <c r="K21" s="114"/>
    </row>
    <row r="22" spans="1:12" s="204" customFormat="1">
      <c r="A22" s="124"/>
      <c r="B22" s="124"/>
      <c r="C22" s="198"/>
      <c r="D22" s="205"/>
      <c r="E22" s="207"/>
      <c r="F22" s="207"/>
      <c r="G22" s="201"/>
      <c r="H22" s="201"/>
      <c r="I22" s="201"/>
      <c r="J22" s="206"/>
      <c r="K22" s="111"/>
      <c r="L22" s="111"/>
    </row>
    <row r="23" spans="1:12" s="194" customFormat="1">
      <c r="A23" s="187"/>
      <c r="B23" s="187"/>
      <c r="C23" s="196"/>
      <c r="D23" s="195"/>
      <c r="E23" s="193"/>
      <c r="F23" s="193"/>
      <c r="G23" s="200"/>
      <c r="H23" s="200"/>
      <c r="I23" s="195"/>
      <c r="J23" s="130"/>
      <c r="K23" s="110"/>
      <c r="L23" s="204"/>
    </row>
  </sheetData>
  <mergeCells count="2">
    <mergeCell ref="A1:D1"/>
    <mergeCell ref="A15:D15"/>
  </mergeCells>
  <phoneticPr fontId="25" type="noConversion"/>
  <conditionalFormatting sqref="A17:J17 A23:J23">
    <cfRule type="containsText" dxfId="150" priority="28" operator="containsText" text="FALSE">
      <formula>NOT(ISERROR(SEARCH("FALSE",A17)))</formula>
    </cfRule>
    <cfRule type="containsText" dxfId="149" priority="29" operator="containsText" text="TRUE">
      <formula>NOT(ISERROR(SEARCH("TRUE",A17)))</formula>
    </cfRule>
  </conditionalFormatting>
  <conditionalFormatting sqref="A23:B23">
    <cfRule type="containsText" dxfId="148" priority="27" operator="containsText" text="vacant">
      <formula>NOT(ISERROR(SEARCH("vacant",A23)))</formula>
    </cfRule>
  </conditionalFormatting>
  <conditionalFormatting sqref="K19">
    <cfRule type="containsText" dxfId="147" priority="25" operator="containsText" text="vac">
      <formula>NOT(ISERROR(SEARCH("vac",K19)))</formula>
    </cfRule>
  </conditionalFormatting>
  <conditionalFormatting sqref="K20:K21">
    <cfRule type="containsText" dxfId="146" priority="22" operator="containsText" text="vacant">
      <formula>NOT(ISERROR(SEARCH("vacant",K20)))</formula>
    </cfRule>
  </conditionalFormatting>
  <conditionalFormatting sqref="K20:K21">
    <cfRule type="containsText" dxfId="145" priority="21" operator="containsText" text="vac">
      <formula>NOT(ISERROR(SEARCH("vac",K20)))</formula>
    </cfRule>
  </conditionalFormatting>
  <conditionalFormatting sqref="K23">
    <cfRule type="containsText" dxfId="144" priority="12" operator="containsText" text="vacant">
      <formula>NOT(ISERROR(SEARCH("vacant",K23)))</formula>
    </cfRule>
  </conditionalFormatting>
  <conditionalFormatting sqref="K22">
    <cfRule type="containsText" dxfId="143" priority="16" operator="containsText" text="vacant">
      <formula>NOT(ISERROR(SEARCH("vacant",K22)))</formula>
    </cfRule>
  </conditionalFormatting>
  <conditionalFormatting sqref="C23">
    <cfRule type="containsText" dxfId="142" priority="13" operator="containsText" text="vacant">
      <formula>NOT(ISERROR(SEARCH("vacant",C23)))</formula>
    </cfRule>
  </conditionalFormatting>
  <conditionalFormatting sqref="A18:B22">
    <cfRule type="containsText" dxfId="141" priority="11" operator="containsText" text="vacant">
      <formula>NOT(ISERROR(SEARCH("vacant",A18)))</formula>
    </cfRule>
  </conditionalFormatting>
  <conditionalFormatting sqref="A18:J22">
    <cfRule type="containsText" dxfId="140" priority="9" operator="containsText" text="FALSE">
      <formula>NOT(ISERROR(SEARCH("FALSE",A18)))</formula>
    </cfRule>
    <cfRule type="containsText" dxfId="139" priority="10" operator="containsText" text="TRUE">
      <formula>NOT(ISERROR(SEARCH("TRUE",A18)))</formula>
    </cfRule>
  </conditionalFormatting>
  <conditionalFormatting sqref="C19:C20">
    <cfRule type="containsText" dxfId="138" priority="8" operator="containsText" text="vacant">
      <formula>NOT(ISERROR(SEARCH("vacant",C19)))</formula>
    </cfRule>
  </conditionalFormatting>
  <conditionalFormatting sqref="D19">
    <cfRule type="containsText" dxfId="137" priority="7" operator="containsText" text="vacant">
      <formula>NOT(ISERROR(SEARCH("vacant",D19)))</formula>
    </cfRule>
  </conditionalFormatting>
  <conditionalFormatting sqref="D19">
    <cfRule type="containsText" dxfId="136" priority="6" operator="containsText" text="vac">
      <formula>NOT(ISERROR(SEARCH("vac",D19)))</formula>
    </cfRule>
  </conditionalFormatting>
  <conditionalFormatting sqref="D20">
    <cfRule type="containsText" dxfId="135" priority="5" operator="containsText" text="vac">
      <formula>NOT(ISERROR(SEARCH("vac",D20)))</formula>
    </cfRule>
  </conditionalFormatting>
  <conditionalFormatting sqref="C21">
    <cfRule type="containsText" dxfId="134" priority="4" operator="containsText" text="vacant">
      <formula>NOT(ISERROR(SEARCH("vacant",C21)))</formula>
    </cfRule>
  </conditionalFormatting>
  <conditionalFormatting sqref="D22">
    <cfRule type="containsText" dxfId="133" priority="3" operator="containsText" text="vacant">
      <formula>NOT(ISERROR(SEARCH("vacant",D22)))</formula>
    </cfRule>
  </conditionalFormatting>
  <conditionalFormatting sqref="D22">
    <cfRule type="containsText" dxfId="132" priority="2" operator="containsText" text="vac">
      <formula>NOT(ISERROR(SEARCH("vac",D22)))</formula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45D6E4-F538-4AB0-B3E9-37462E660D83}">
  <dimension ref="A1:E9"/>
  <sheetViews>
    <sheetView zoomScale="130" zoomScaleNormal="130" workbookViewId="0">
      <selection activeCell="D9" sqref="D9"/>
    </sheetView>
  </sheetViews>
  <sheetFormatPr defaultRowHeight="15"/>
  <cols>
    <col min="1" max="1" width="22" customWidth="1"/>
    <col min="2" max="2" width="22" style="194" customWidth="1"/>
    <col min="3" max="3" width="20" customWidth="1"/>
    <col min="4" max="4" width="14.85546875" customWidth="1"/>
    <col min="5" max="5" width="29" customWidth="1"/>
  </cols>
  <sheetData>
    <row r="1" spans="1:5" s="194" customFormat="1">
      <c r="A1" s="149" t="s">
        <v>2</v>
      </c>
      <c r="B1" s="149" t="s">
        <v>1</v>
      </c>
      <c r="C1" s="149" t="s">
        <v>541</v>
      </c>
      <c r="D1" s="149" t="s">
        <v>511</v>
      </c>
      <c r="E1" s="149" t="s">
        <v>557</v>
      </c>
    </row>
    <row r="2" spans="1:5">
      <c r="A2" s="141" t="s">
        <v>539</v>
      </c>
      <c r="B2" s="177" t="s">
        <v>189</v>
      </c>
      <c r="C2" s="189" t="s">
        <v>544</v>
      </c>
      <c r="D2" t="s">
        <v>551</v>
      </c>
    </row>
    <row r="3" spans="1:5">
      <c r="A3" s="177" t="s">
        <v>535</v>
      </c>
      <c r="B3" s="177" t="s">
        <v>550</v>
      </c>
      <c r="C3" s="189" t="s">
        <v>545</v>
      </c>
      <c r="D3" t="s">
        <v>551</v>
      </c>
    </row>
    <row r="4" spans="1:5">
      <c r="A4" s="141" t="s">
        <v>538</v>
      </c>
      <c r="B4" s="177" t="s">
        <v>189</v>
      </c>
      <c r="C4" s="189" t="s">
        <v>546</v>
      </c>
      <c r="D4" t="s">
        <v>552</v>
      </c>
    </row>
    <row r="5" spans="1:5" ht="15.75">
      <c r="A5" s="175" t="s">
        <v>534</v>
      </c>
      <c r="B5" s="177" t="s">
        <v>206</v>
      </c>
      <c r="C5" s="189" t="s">
        <v>543</v>
      </c>
      <c r="D5" t="s">
        <v>553</v>
      </c>
    </row>
    <row r="6" spans="1:5">
      <c r="A6" s="141" t="s">
        <v>537</v>
      </c>
      <c r="B6" s="177" t="s">
        <v>206</v>
      </c>
      <c r="C6" s="189" t="s">
        <v>548</v>
      </c>
      <c r="D6" t="s">
        <v>553</v>
      </c>
    </row>
    <row r="7" spans="1:5">
      <c r="A7" s="177" t="s">
        <v>533</v>
      </c>
      <c r="B7" s="177" t="s">
        <v>26</v>
      </c>
      <c r="C7" s="189" t="s">
        <v>542</v>
      </c>
      <c r="D7" t="s">
        <v>555</v>
      </c>
    </row>
    <row r="8" spans="1:5" ht="15.75">
      <c r="A8" s="175" t="s">
        <v>536</v>
      </c>
      <c r="B8" s="177" t="s">
        <v>26</v>
      </c>
      <c r="C8" s="189" t="s">
        <v>547</v>
      </c>
      <c r="D8" t="s">
        <v>554</v>
      </c>
      <c r="E8" t="s">
        <v>558</v>
      </c>
    </row>
    <row r="9" spans="1:5">
      <c r="A9" s="141" t="s">
        <v>540</v>
      </c>
      <c r="B9" s="177" t="s">
        <v>550</v>
      </c>
      <c r="C9" s="189" t="s">
        <v>549</v>
      </c>
      <c r="D9" t="s">
        <v>556</v>
      </c>
    </row>
  </sheetData>
  <conditionalFormatting sqref="A2:B2">
    <cfRule type="containsText" dxfId="131" priority="5" operator="containsText" text="vacant">
      <formula>NOT(ISERROR(SEARCH("vacant",A2)))</formula>
    </cfRule>
  </conditionalFormatting>
  <conditionalFormatting sqref="A2:B5">
    <cfRule type="containsText" dxfId="130" priority="3" operator="containsText" text="FALSE">
      <formula>NOT(ISERROR(SEARCH("FALSE",A2)))</formula>
    </cfRule>
    <cfRule type="containsText" dxfId="129" priority="4" operator="containsText" text="TRUE">
      <formula>NOT(ISERROR(SEARCH("TRUE",A2)))</formula>
    </cfRule>
  </conditionalFormatting>
  <conditionalFormatting sqref="A3:B3">
    <cfRule type="containsText" dxfId="128" priority="2" operator="containsText" text="vacant">
      <formula>NOT(ISERROR(SEARCH("vacant",A3)))</formula>
    </cfRule>
  </conditionalFormatting>
  <conditionalFormatting sqref="A5:B5">
    <cfRule type="containsText" dxfId="127" priority="1" operator="containsText" text="vacant">
      <formula>NOT(ISERROR(SEARCH("vacant",A5)))</formula>
    </cfRule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3024E9-F5E9-4D73-B982-D7625AE3CB61}">
  <dimension ref="A1:L111"/>
  <sheetViews>
    <sheetView showGridLines="0" tabSelected="1" topLeftCell="B39" workbookViewId="0">
      <selection activeCell="G30" sqref="G30"/>
    </sheetView>
  </sheetViews>
  <sheetFormatPr defaultRowHeight="15"/>
  <cols>
    <col min="2" max="2" width="12.28515625" customWidth="1"/>
    <col min="3" max="3" width="12.85546875" bestFit="1" customWidth="1"/>
    <col min="4" max="4" width="27.5703125" bestFit="1" customWidth="1"/>
    <col min="5" max="5" width="14.5703125" customWidth="1"/>
    <col min="6" max="6" width="13" customWidth="1"/>
    <col min="7" max="7" width="12.42578125" bestFit="1" customWidth="1"/>
    <col min="8" max="8" width="11" bestFit="1" customWidth="1"/>
    <col min="9" max="9" width="31" customWidth="1"/>
    <col min="10" max="10" width="24.28515625" customWidth="1"/>
    <col min="11" max="11" width="9.140625" style="109"/>
    <col min="12" max="12" width="16" style="109" customWidth="1"/>
  </cols>
  <sheetData>
    <row r="1" spans="1:12">
      <c r="A1" s="127" t="s">
        <v>0</v>
      </c>
      <c r="B1" s="144" t="s">
        <v>1</v>
      </c>
      <c r="C1" s="144" t="s">
        <v>2</v>
      </c>
      <c r="D1" s="145" t="s">
        <v>3</v>
      </c>
      <c r="E1" s="134" t="s">
        <v>4</v>
      </c>
      <c r="F1" s="144" t="s">
        <v>5</v>
      </c>
      <c r="G1" s="144" t="s">
        <v>6</v>
      </c>
      <c r="H1" s="144" t="s">
        <v>7</v>
      </c>
      <c r="I1" s="144" t="s">
        <v>365</v>
      </c>
      <c r="J1" s="144" t="s">
        <v>515</v>
      </c>
    </row>
    <row r="2" spans="1:12">
      <c r="A2" s="176" t="s">
        <v>25</v>
      </c>
      <c r="B2" s="176" t="s">
        <v>132</v>
      </c>
      <c r="C2" s="197" t="s">
        <v>8</v>
      </c>
      <c r="D2" s="172" t="s">
        <v>9</v>
      </c>
      <c r="E2" s="188">
        <v>44588</v>
      </c>
      <c r="F2" s="188"/>
      <c r="G2" s="155" t="s">
        <v>426</v>
      </c>
      <c r="H2" s="155">
        <v>4371314568</v>
      </c>
      <c r="I2" s="155" t="str">
        <f>IFERROR(VLOOKUP(G2,'20an'!$D:$J,7,0), "Sales tidak ada di data HR")</f>
        <v>Ridwan Fauzan Firdaus</v>
      </c>
      <c r="J2" s="125" t="b">
        <f>I2='JAN26'!$D2</f>
        <v>1</v>
      </c>
    </row>
    <row r="3" spans="1:12">
      <c r="A3" s="176" t="s">
        <v>25</v>
      </c>
      <c r="B3" s="176" t="s">
        <v>132</v>
      </c>
      <c r="C3" s="197" t="s">
        <v>10</v>
      </c>
      <c r="D3" s="172" t="s">
        <v>11</v>
      </c>
      <c r="E3" s="188">
        <v>44706</v>
      </c>
      <c r="F3" s="188"/>
      <c r="G3" s="155" t="s">
        <v>427</v>
      </c>
      <c r="H3" s="155">
        <v>8100893330</v>
      </c>
      <c r="I3" s="155" t="str">
        <f>IFERROR(VLOOKUP(G3,'20an'!$D:$J,7,0), "Sales tidak ada di data HR")</f>
        <v>Nur Ali</v>
      </c>
      <c r="J3" s="125" t="b">
        <f>I3='JAN26'!$D3</f>
        <v>1</v>
      </c>
      <c r="L3" s="138" t="s">
        <v>533</v>
      </c>
    </row>
    <row r="4" spans="1:12" ht="15.75">
      <c r="A4" s="176" t="s">
        <v>25</v>
      </c>
      <c r="B4" s="176" t="s">
        <v>132</v>
      </c>
      <c r="C4" s="197" t="s">
        <v>12</v>
      </c>
      <c r="D4" s="172" t="s">
        <v>13</v>
      </c>
      <c r="E4" s="188">
        <v>46006</v>
      </c>
      <c r="F4" s="188"/>
      <c r="G4" s="155" t="s">
        <v>409</v>
      </c>
      <c r="H4" s="155">
        <v>3741721129</v>
      </c>
      <c r="I4" s="155" t="str">
        <f>IFERROR(VLOOKUP(G4,'20an'!$D:$J,7,0), "Sales tidak ada di data HR")</f>
        <v>Renaldi Agustiana Yusuf</v>
      </c>
      <c r="J4" s="125" t="b">
        <f>I4='JAN26'!$D4</f>
        <v>1</v>
      </c>
      <c r="L4" s="183" t="s">
        <v>534</v>
      </c>
    </row>
    <row r="5" spans="1:12">
      <c r="A5" s="176" t="s">
        <v>25</v>
      </c>
      <c r="B5" s="176" t="s">
        <v>132</v>
      </c>
      <c r="C5" s="197" t="s">
        <v>14</v>
      </c>
      <c r="D5" s="172" t="s">
        <v>15</v>
      </c>
      <c r="E5" s="188">
        <v>45533</v>
      </c>
      <c r="F5" s="188"/>
      <c r="G5" s="155" t="s">
        <v>403</v>
      </c>
      <c r="H5" s="155">
        <v>7940315390</v>
      </c>
      <c r="I5" s="155" t="str">
        <f>IFERROR(VLOOKUP(G5,'20an'!$D:$J,7,0), "Sales tidak ada di data HR")</f>
        <v>Syamsul Palah</v>
      </c>
      <c r="J5" s="125" t="b">
        <f>I5='JAN26'!$D5</f>
        <v>1</v>
      </c>
      <c r="L5" s="159" t="s">
        <v>535</v>
      </c>
    </row>
    <row r="6" spans="1:12" ht="15.75">
      <c r="A6" s="176" t="s">
        <v>25</v>
      </c>
      <c r="B6" s="176" t="s">
        <v>132</v>
      </c>
      <c r="C6" s="197" t="s">
        <v>16</v>
      </c>
      <c r="D6" s="172" t="s">
        <v>17</v>
      </c>
      <c r="E6" s="188">
        <v>45628</v>
      </c>
      <c r="F6" s="188"/>
      <c r="G6" s="155" t="s">
        <v>404</v>
      </c>
      <c r="H6" s="155">
        <v>7495077144</v>
      </c>
      <c r="I6" s="155" t="str">
        <f>IFERROR(VLOOKUP(G6,'20an'!$D:$J,7,0), "Sales tidak ada di data HR")</f>
        <v>Ghisan Al Azhali</v>
      </c>
      <c r="J6" s="125" t="b">
        <f>I6='JAN26'!$D6</f>
        <v>1</v>
      </c>
      <c r="L6" s="173" t="s">
        <v>536</v>
      </c>
    </row>
    <row r="7" spans="1:12">
      <c r="A7" s="176" t="s">
        <v>25</v>
      </c>
      <c r="B7" s="176" t="s">
        <v>132</v>
      </c>
      <c r="C7" s="197" t="s">
        <v>18</v>
      </c>
      <c r="D7" s="139" t="s">
        <v>408</v>
      </c>
      <c r="E7" s="188">
        <v>46000</v>
      </c>
      <c r="F7" s="188"/>
      <c r="G7" s="155" t="s">
        <v>406</v>
      </c>
      <c r="H7" s="155">
        <v>1390637132</v>
      </c>
      <c r="I7" s="155" t="str">
        <f>IFERROR(VLOOKUP(G7,'20an'!$D:$J,7,0), "Sales tidak ada di data HR")</f>
        <v>Virsqi Indra Perdana</v>
      </c>
      <c r="J7" s="125" t="b">
        <f>I7='JAN26'!$D7</f>
        <v>1</v>
      </c>
      <c r="L7" s="133" t="s">
        <v>537</v>
      </c>
    </row>
    <row r="8" spans="1:12">
      <c r="A8" s="176" t="s">
        <v>25</v>
      </c>
      <c r="B8" s="176" t="s">
        <v>132</v>
      </c>
      <c r="C8" s="197" t="s">
        <v>20</v>
      </c>
      <c r="D8" s="172" t="s">
        <v>21</v>
      </c>
      <c r="E8" s="188">
        <v>44704</v>
      </c>
      <c r="F8" s="188"/>
      <c r="G8" s="155" t="s">
        <v>401</v>
      </c>
      <c r="H8" s="155">
        <v>2810384045</v>
      </c>
      <c r="I8" s="155" t="str">
        <f>IFERROR(VLOOKUP(G8,'20an'!$D:$J,7,0), "Sales tidak ada di data HR")</f>
        <v>Hasudungan</v>
      </c>
      <c r="J8" s="125" t="b">
        <f>I8='JAN26'!$D8</f>
        <v>1</v>
      </c>
      <c r="L8" s="133" t="s">
        <v>538</v>
      </c>
    </row>
    <row r="9" spans="1:12">
      <c r="A9" s="176" t="s">
        <v>25</v>
      </c>
      <c r="B9" s="176" t="s">
        <v>132</v>
      </c>
      <c r="C9" s="197" t="s">
        <v>22</v>
      </c>
      <c r="D9" s="172" t="s">
        <v>23</v>
      </c>
      <c r="E9" s="188">
        <v>45908</v>
      </c>
      <c r="F9" s="188">
        <v>46031</v>
      </c>
      <c r="G9" s="155" t="s">
        <v>506</v>
      </c>
      <c r="H9" s="155">
        <v>5170024461</v>
      </c>
      <c r="I9" s="155" t="str">
        <f>IFERROR(VLOOKUP(G9,'20an'!$D:$J,7,0), "Sales tidak ada di data HR")</f>
        <v>Sales tidak ada di data HR</v>
      </c>
      <c r="J9" s="125" t="b">
        <f>I9='JAN26'!$D9</f>
        <v>0</v>
      </c>
      <c r="L9" s="133" t="s">
        <v>539</v>
      </c>
    </row>
    <row r="10" spans="1:12">
      <c r="A10" s="176" t="s">
        <v>265</v>
      </c>
      <c r="B10" s="176" t="s">
        <v>132</v>
      </c>
      <c r="C10" s="143" t="s">
        <v>266</v>
      </c>
      <c r="D10" s="197" t="s">
        <v>267</v>
      </c>
      <c r="E10" s="188">
        <v>45649</v>
      </c>
      <c r="F10" s="188"/>
      <c r="G10" s="155" t="s">
        <v>268</v>
      </c>
      <c r="H10" s="155">
        <v>87042531</v>
      </c>
      <c r="I10" s="155" t="str">
        <f>IFERROR(VLOOKUP(G10,'20an'!$D:$J,7,0), "Sales tidak ada di data HR")</f>
        <v>Kiki Hadisurya</v>
      </c>
      <c r="J10" s="125" t="b">
        <f>I10='JAN26'!$D10</f>
        <v>1</v>
      </c>
      <c r="K10" s="110"/>
      <c r="L10" s="165" t="s">
        <v>540</v>
      </c>
    </row>
    <row r="11" spans="1:12" ht="15.75">
      <c r="A11" s="176" t="s">
        <v>207</v>
      </c>
      <c r="B11" s="176" t="s">
        <v>132</v>
      </c>
      <c r="C11" s="108" t="s">
        <v>208</v>
      </c>
      <c r="D11" s="197" t="s">
        <v>209</v>
      </c>
      <c r="E11" s="188">
        <v>44951</v>
      </c>
      <c r="F11" s="188"/>
      <c r="G11" s="155" t="s">
        <v>210</v>
      </c>
      <c r="H11" s="155">
        <v>1342293292</v>
      </c>
      <c r="I11" s="155" t="str">
        <f>IFERROR(VLOOKUP(G11,'20an'!$D:$J,7,0), "Sales tidak ada di data HR")</f>
        <v>Nurfadilah</v>
      </c>
      <c r="J11" s="125" t="b">
        <f>I11='JAN26'!$D11</f>
        <v>1</v>
      </c>
      <c r="K11" s="112"/>
      <c r="L11" s="111"/>
    </row>
    <row r="12" spans="1:12" ht="15.75">
      <c r="A12" s="176" t="s">
        <v>207</v>
      </c>
      <c r="B12" s="176" t="s">
        <v>132</v>
      </c>
      <c r="C12" s="108" t="s">
        <v>212</v>
      </c>
      <c r="D12" s="197" t="s">
        <v>213</v>
      </c>
      <c r="E12" s="188">
        <v>44536</v>
      </c>
      <c r="F12" s="188"/>
      <c r="G12" s="155" t="s">
        <v>214</v>
      </c>
      <c r="H12" s="155">
        <v>8180224085</v>
      </c>
      <c r="I12" s="155" t="str">
        <f>IFERROR(VLOOKUP(G12,'20an'!$D:$J,7,0), "Sales tidak ada di data HR")</f>
        <v>Fanji Berliandy Azhari Ridzki</v>
      </c>
      <c r="J12" s="125" t="b">
        <f>I12='JAN26'!$D12</f>
        <v>1</v>
      </c>
      <c r="K12" s="112"/>
      <c r="L12" s="111"/>
    </row>
    <row r="13" spans="1:12" ht="15.75">
      <c r="A13" s="176" t="s">
        <v>207</v>
      </c>
      <c r="B13" s="176" t="s">
        <v>132</v>
      </c>
      <c r="C13" s="108" t="s">
        <v>215</v>
      </c>
      <c r="D13" s="197" t="s">
        <v>216</v>
      </c>
      <c r="E13" s="188">
        <v>45845</v>
      </c>
      <c r="F13" s="188"/>
      <c r="G13" s="155" t="s">
        <v>217</v>
      </c>
      <c r="H13" s="155">
        <v>373802651</v>
      </c>
      <c r="I13" s="155" t="str">
        <f>IFERROR(VLOOKUP(G13,'20an'!$D:$J,7,0), "Sales tidak ada di data HR")</f>
        <v>Ade Trihandoyo</v>
      </c>
      <c r="J13" s="125" t="b">
        <f>I13='JAN26'!$D13</f>
        <v>1</v>
      </c>
      <c r="K13" s="112"/>
      <c r="L13" s="111"/>
    </row>
    <row r="14" spans="1:12" ht="15.75">
      <c r="A14" s="176" t="s">
        <v>207</v>
      </c>
      <c r="B14" s="176" t="s">
        <v>132</v>
      </c>
      <c r="C14" s="108" t="s">
        <v>218</v>
      </c>
      <c r="D14" s="197" t="s">
        <v>219</v>
      </c>
      <c r="E14" s="188">
        <v>45502</v>
      </c>
      <c r="F14" s="188"/>
      <c r="G14" s="155" t="s">
        <v>220</v>
      </c>
      <c r="H14" s="155">
        <v>8180505475</v>
      </c>
      <c r="I14" s="155" t="str">
        <f>IFERROR(VLOOKUP(G14,'20an'!$D:$J,7,0), "Sales tidak ada di data HR")</f>
        <v>Fidyah Faroid</v>
      </c>
      <c r="J14" s="125" t="b">
        <f>I14='JAN26'!$D14</f>
        <v>1</v>
      </c>
      <c r="K14" s="112"/>
      <c r="L14" s="111"/>
    </row>
    <row r="15" spans="1:12" ht="15.75">
      <c r="A15" s="176" t="s">
        <v>207</v>
      </c>
      <c r="B15" s="176" t="s">
        <v>132</v>
      </c>
      <c r="C15" s="108" t="s">
        <v>222</v>
      </c>
      <c r="D15" s="197" t="s">
        <v>223</v>
      </c>
      <c r="E15" s="188">
        <v>45708</v>
      </c>
      <c r="F15" s="188"/>
      <c r="G15" s="155" t="s">
        <v>224</v>
      </c>
      <c r="H15" s="155">
        <v>1342833637</v>
      </c>
      <c r="I15" s="155" t="str">
        <f>IFERROR(VLOOKUP(G15,'20an'!$D:$J,7,0), "Sales tidak ada di data HR")</f>
        <v>Eko Yoga Prawira</v>
      </c>
      <c r="J15" s="125" t="b">
        <f>I15='JAN26'!$D15</f>
        <v>1</v>
      </c>
      <c r="K15" s="112"/>
      <c r="L15" s="111"/>
    </row>
    <row r="16" spans="1:12" ht="15.75">
      <c r="A16" s="176" t="s">
        <v>207</v>
      </c>
      <c r="B16" s="176" t="s">
        <v>132</v>
      </c>
      <c r="C16" s="108" t="s">
        <v>226</v>
      </c>
      <c r="D16" s="197" t="s">
        <v>227</v>
      </c>
      <c r="E16" s="188">
        <v>45643</v>
      </c>
      <c r="F16" s="188"/>
      <c r="G16" s="155" t="s">
        <v>228</v>
      </c>
      <c r="H16" s="155">
        <v>2991983084</v>
      </c>
      <c r="I16" s="155" t="str">
        <f>IFERROR(VLOOKUP(G16,'20an'!$D:$J,7,0), "Sales tidak ada di data HR")</f>
        <v>Ipan Wiguna</v>
      </c>
      <c r="J16" s="125" t="b">
        <f>I16='JAN26'!$D16</f>
        <v>1</v>
      </c>
      <c r="K16" s="112"/>
      <c r="L16" s="111"/>
    </row>
    <row r="17" spans="1:12">
      <c r="A17" s="176" t="s">
        <v>293</v>
      </c>
      <c r="B17" s="176" t="s">
        <v>132</v>
      </c>
      <c r="C17" s="155" t="s">
        <v>294</v>
      </c>
      <c r="D17" s="155" t="s">
        <v>295</v>
      </c>
      <c r="E17" s="188">
        <v>45468</v>
      </c>
      <c r="F17" s="188"/>
      <c r="G17" s="155" t="s">
        <v>296</v>
      </c>
      <c r="H17" s="155">
        <v>3211177428</v>
      </c>
      <c r="I17" s="155" t="str">
        <f>IFERROR(VLOOKUP(G17,'20an'!$D:$J,7,0), "Sales tidak ada di data HR")</f>
        <v>Firmansyah</v>
      </c>
      <c r="J17" s="125" t="b">
        <f>I17='JAN26'!$D17</f>
        <v>1</v>
      </c>
    </row>
    <row r="18" spans="1:12">
      <c r="A18" s="176" t="s">
        <v>293</v>
      </c>
      <c r="B18" s="176" t="s">
        <v>132</v>
      </c>
      <c r="C18" s="155" t="s">
        <v>298</v>
      </c>
      <c r="D18" s="155" t="s">
        <v>299</v>
      </c>
      <c r="E18" s="188">
        <v>44734</v>
      </c>
      <c r="F18" s="188"/>
      <c r="G18" s="155" t="s">
        <v>300</v>
      </c>
      <c r="H18" s="155">
        <v>3210914411</v>
      </c>
      <c r="I18" s="155" t="str">
        <f>IFERROR(VLOOKUP(G18,'20an'!$D:$J,7,0), "Sales tidak ada di data HR")</f>
        <v>Dhia Ul Iman</v>
      </c>
      <c r="J18" s="125" t="b">
        <f>I18='JAN26'!$D18</f>
        <v>1</v>
      </c>
    </row>
    <row r="19" spans="1:12">
      <c r="A19" s="176" t="s">
        <v>293</v>
      </c>
      <c r="B19" s="176" t="s">
        <v>132</v>
      </c>
      <c r="C19" s="155" t="s">
        <v>301</v>
      </c>
      <c r="D19" s="155" t="s">
        <v>302</v>
      </c>
      <c r="E19" s="188">
        <v>45558</v>
      </c>
      <c r="F19" s="188"/>
      <c r="G19" s="155" t="s">
        <v>303</v>
      </c>
      <c r="H19" s="155">
        <v>541384501</v>
      </c>
      <c r="I19" s="155" t="str">
        <f>IFERROR(VLOOKUP(G19,'20an'!$D:$J,7,0), "Sales tidak ada di data HR")</f>
        <v>Veby Rizky Fauzi</v>
      </c>
      <c r="J19" s="125" t="b">
        <f>I19='JAN26'!$D19</f>
        <v>1</v>
      </c>
    </row>
    <row r="20" spans="1:12">
      <c r="A20" s="176" t="s">
        <v>293</v>
      </c>
      <c r="B20" s="176" t="s">
        <v>132</v>
      </c>
      <c r="C20" s="155" t="s">
        <v>305</v>
      </c>
      <c r="D20" s="155" t="s">
        <v>306</v>
      </c>
      <c r="E20" s="188">
        <v>45820</v>
      </c>
      <c r="F20" s="188"/>
      <c r="G20" s="155" t="s">
        <v>307</v>
      </c>
      <c r="H20" s="155">
        <v>3211265807</v>
      </c>
      <c r="I20" s="155" t="str">
        <f>IFERROR(VLOOKUP(G20,'20an'!$D:$J,7,0), "Sales tidak ada di data HR")</f>
        <v>Dian Haerandi</v>
      </c>
      <c r="J20" s="125" t="b">
        <f>I20='JAN26'!$D20</f>
        <v>1</v>
      </c>
    </row>
    <row r="21" spans="1:12">
      <c r="A21" s="176" t="s">
        <v>293</v>
      </c>
      <c r="B21" s="176" t="s">
        <v>132</v>
      </c>
      <c r="C21" s="155" t="s">
        <v>309</v>
      </c>
      <c r="D21" s="155" t="s">
        <v>488</v>
      </c>
      <c r="E21" s="188">
        <v>45679</v>
      </c>
      <c r="F21" s="188"/>
      <c r="G21" s="155" t="s">
        <v>311</v>
      </c>
      <c r="H21" s="155">
        <v>3210680810</v>
      </c>
      <c r="I21" s="155" t="str">
        <f>IFERROR(VLOOKUP(G21,'20an'!$D:$J,7,0), "Sales tidak ada di data HR")</f>
        <v>Jejen Al Kohiri</v>
      </c>
      <c r="J21" s="125" t="b">
        <f>I21='JAN26'!$D21</f>
        <v>1</v>
      </c>
    </row>
    <row r="22" spans="1:12" ht="15.75">
      <c r="A22" s="176" t="s">
        <v>131</v>
      </c>
      <c r="B22" s="176" t="s">
        <v>132</v>
      </c>
      <c r="C22" s="108" t="s">
        <v>133</v>
      </c>
      <c r="D22" s="155" t="s">
        <v>134</v>
      </c>
      <c r="E22" s="188">
        <v>45414</v>
      </c>
      <c r="F22" s="188"/>
      <c r="G22" s="155" t="s">
        <v>135</v>
      </c>
      <c r="H22" s="155">
        <v>3720066482</v>
      </c>
      <c r="I22" s="155" t="str">
        <f>IFERROR(VLOOKUP(G22,'20an'!$D:$J,7,0), "Sales tidak ada di data HR")</f>
        <v>Syahri Rizki</v>
      </c>
      <c r="J22" s="125" t="b">
        <f>I22='JAN26'!$D22</f>
        <v>1</v>
      </c>
    </row>
    <row r="23" spans="1:12" ht="15.75">
      <c r="A23" s="176" t="s">
        <v>131</v>
      </c>
      <c r="B23" s="176" t="s">
        <v>132</v>
      </c>
      <c r="C23" s="108" t="s">
        <v>137</v>
      </c>
      <c r="D23" s="155" t="s">
        <v>138</v>
      </c>
      <c r="E23" s="188">
        <v>44903</v>
      </c>
      <c r="F23" s="188"/>
      <c r="G23" s="155" t="s">
        <v>139</v>
      </c>
      <c r="H23" s="155">
        <v>7402130230</v>
      </c>
      <c r="I23" s="155" t="str">
        <f>IFERROR(VLOOKUP(G23,'20an'!$D:$J,7,0), "Sales tidak ada di data HR")</f>
        <v>Wahyu Widiana</v>
      </c>
      <c r="J23" s="125" t="b">
        <f>I23='JAN26'!$D23</f>
        <v>1</v>
      </c>
    </row>
    <row r="24" spans="1:12" ht="15.75">
      <c r="A24" s="176" t="s">
        <v>131</v>
      </c>
      <c r="B24" s="176" t="s">
        <v>132</v>
      </c>
      <c r="C24" s="108" t="s">
        <v>140</v>
      </c>
      <c r="D24" s="155" t="s">
        <v>141</v>
      </c>
      <c r="E24" s="188">
        <v>44531</v>
      </c>
      <c r="F24" s="188"/>
      <c r="G24" s="155" t="s">
        <v>142</v>
      </c>
      <c r="H24" s="155">
        <v>5015250876</v>
      </c>
      <c r="I24" s="155" t="str">
        <f>IFERROR(VLOOKUP(G24,'20an'!$D:$J,7,0), "Sales tidak ada di data HR")</f>
        <v>Ryan Novi Handoko</v>
      </c>
      <c r="J24" s="125" t="b">
        <f>I24='JAN26'!$D24</f>
        <v>1</v>
      </c>
    </row>
    <row r="25" spans="1:12" ht="15.75">
      <c r="A25" s="176" t="s">
        <v>131</v>
      </c>
      <c r="B25" s="176" t="s">
        <v>132</v>
      </c>
      <c r="C25" s="108" t="s">
        <v>143</v>
      </c>
      <c r="D25" s="143" t="s">
        <v>144</v>
      </c>
      <c r="E25" s="188">
        <v>44091</v>
      </c>
      <c r="F25" s="188"/>
      <c r="G25" s="155" t="s">
        <v>145</v>
      </c>
      <c r="H25" s="155">
        <v>5735335861</v>
      </c>
      <c r="I25" s="155" t="str">
        <f>IFERROR(VLOOKUP(G25,'20an'!$D:$J,7,0), "Sales tidak ada di data HR")</f>
        <v>Muhamad Hasan</v>
      </c>
      <c r="J25" s="125" t="b">
        <f>I25='JAN26'!$D25</f>
        <v>1</v>
      </c>
    </row>
    <row r="26" spans="1:12">
      <c r="A26" s="176" t="s">
        <v>25</v>
      </c>
      <c r="B26" s="176" t="s">
        <v>26</v>
      </c>
      <c r="C26" s="197" t="s">
        <v>27</v>
      </c>
      <c r="D26" s="197" t="s">
        <v>28</v>
      </c>
      <c r="E26" s="188">
        <v>45139</v>
      </c>
      <c r="F26" s="188"/>
      <c r="G26" s="155" t="s">
        <v>29</v>
      </c>
      <c r="H26" s="155">
        <v>2832258475</v>
      </c>
      <c r="I26" s="155" t="str">
        <f>IFERROR(VLOOKUP(G26,'20an'!$D:$J,7,0), "Sales tidak ada di data HR")</f>
        <v>Ikhwan Fiddin</v>
      </c>
      <c r="J26" s="125" t="b">
        <f>I26='JAN26'!$D26</f>
        <v>1</v>
      </c>
    </row>
    <row r="27" spans="1:12">
      <c r="A27" s="176" t="s">
        <v>25</v>
      </c>
      <c r="B27" s="176" t="s">
        <v>26</v>
      </c>
      <c r="C27" s="197" t="s">
        <v>31</v>
      </c>
      <c r="D27" s="197" t="s">
        <v>32</v>
      </c>
      <c r="E27" s="188">
        <v>44572</v>
      </c>
      <c r="F27" s="188"/>
      <c r="G27" s="155" t="s">
        <v>33</v>
      </c>
      <c r="H27" s="155">
        <v>1393356867</v>
      </c>
      <c r="I27" s="155" t="str">
        <f>IFERROR(VLOOKUP(G27,'20an'!$D:$J,7,0), "Sales tidak ada di data HR")</f>
        <v>Dadan Hardiansah Putra</v>
      </c>
      <c r="J27" s="125" t="b">
        <f>I27='JAN26'!$D27</f>
        <v>1</v>
      </c>
    </row>
    <row r="28" spans="1:12">
      <c r="A28" s="176" t="s">
        <v>25</v>
      </c>
      <c r="B28" s="176" t="s">
        <v>26</v>
      </c>
      <c r="C28" s="197" t="s">
        <v>34</v>
      </c>
      <c r="D28" s="197" t="s">
        <v>35</v>
      </c>
      <c r="E28" s="188">
        <v>44533</v>
      </c>
      <c r="F28" s="188"/>
      <c r="G28" s="155" t="s">
        <v>36</v>
      </c>
      <c r="H28" s="155">
        <v>1393317101</v>
      </c>
      <c r="I28" s="155" t="str">
        <f>IFERROR(VLOOKUP(G28,'20an'!$D:$J,7,0), "Sales tidak ada di data HR")</f>
        <v>Moch Armando Vebby</v>
      </c>
      <c r="J28" s="125" t="b">
        <f>I28='JAN26'!$D28</f>
        <v>1</v>
      </c>
    </row>
    <row r="29" spans="1:12">
      <c r="A29" s="176" t="s">
        <v>25</v>
      </c>
      <c r="B29" s="176" t="s">
        <v>26</v>
      </c>
      <c r="C29" s="197" t="s">
        <v>38</v>
      </c>
      <c r="D29" s="197" t="s">
        <v>39</v>
      </c>
      <c r="E29" s="188">
        <v>44525</v>
      </c>
      <c r="F29" s="188"/>
      <c r="G29" s="155" t="s">
        <v>40</v>
      </c>
      <c r="H29" s="155">
        <v>2830825579</v>
      </c>
      <c r="I29" s="155" t="str">
        <f>IFERROR(VLOOKUP(G29,'20an'!$D:$J,7,0), "Sales tidak ada di data HR")</f>
        <v>Rahmat Hidayat</v>
      </c>
      <c r="J29" s="125" t="b">
        <f>I29='JAN26'!$D29</f>
        <v>1</v>
      </c>
    </row>
    <row r="30" spans="1:12">
      <c r="A30" s="176" t="s">
        <v>25</v>
      </c>
      <c r="B30" s="176" t="s">
        <v>26</v>
      </c>
      <c r="C30" s="197" t="s">
        <v>42</v>
      </c>
      <c r="D30" s="197" t="s">
        <v>43</v>
      </c>
      <c r="E30" s="188">
        <v>44732</v>
      </c>
      <c r="F30" s="188"/>
      <c r="G30" s="155" t="s">
        <v>44</v>
      </c>
      <c r="H30" s="155">
        <v>4372932876</v>
      </c>
      <c r="I30" s="155" t="str">
        <f>IFERROR(VLOOKUP(G30,'20an'!$D:$J,7,0), "Sales tidak ada di data HR")</f>
        <v>Satria Pamungkas</v>
      </c>
      <c r="J30" s="125" t="b">
        <f>I30='JAN26'!$D30</f>
        <v>1</v>
      </c>
    </row>
    <row r="31" spans="1:12">
      <c r="A31" s="176" t="s">
        <v>25</v>
      </c>
      <c r="B31" s="176" t="s">
        <v>26</v>
      </c>
      <c r="C31" s="197" t="s">
        <v>46</v>
      </c>
      <c r="D31" s="197" t="s">
        <v>47</v>
      </c>
      <c r="E31" s="188">
        <v>44572</v>
      </c>
      <c r="F31" s="188"/>
      <c r="G31" s="155" t="s">
        <v>48</v>
      </c>
      <c r="H31" s="155">
        <v>1760203960</v>
      </c>
      <c r="I31" s="155" t="str">
        <f>IFERROR(VLOOKUP(G31,'20an'!$D:$J,7,0), "Sales tidak ada di data HR")</f>
        <v>Andi Kurniawan</v>
      </c>
      <c r="J31" s="125" t="b">
        <f>I31='JAN26'!$D31</f>
        <v>1</v>
      </c>
    </row>
    <row r="32" spans="1:12" ht="15.75">
      <c r="A32" s="176" t="s">
        <v>265</v>
      </c>
      <c r="B32" s="176" t="s">
        <v>26</v>
      </c>
      <c r="C32" s="108" t="s">
        <v>270</v>
      </c>
      <c r="D32" s="197" t="s">
        <v>271</v>
      </c>
      <c r="E32" s="188">
        <v>44137</v>
      </c>
      <c r="F32" s="188"/>
      <c r="G32" s="155" t="s">
        <v>272</v>
      </c>
      <c r="H32" s="155">
        <v>3780397925</v>
      </c>
      <c r="I32" s="155" t="str">
        <f>IFERROR(VLOOKUP(G32,'20an'!$D:$J,7,0), "Sales tidak ada di data HR")</f>
        <v>Ujang Sulaeman</v>
      </c>
      <c r="J32" s="125" t="b">
        <f>I32='JAN26'!$D32</f>
        <v>1</v>
      </c>
      <c r="K32" s="112"/>
      <c r="L32" s="111"/>
    </row>
    <row r="33" spans="1:12" ht="15.75">
      <c r="A33" s="176" t="s">
        <v>265</v>
      </c>
      <c r="B33" s="176" t="s">
        <v>26</v>
      </c>
      <c r="C33" s="108" t="s">
        <v>273</v>
      </c>
      <c r="D33" s="197" t="s">
        <v>274</v>
      </c>
      <c r="E33" s="188">
        <v>45894</v>
      </c>
      <c r="F33" s="188"/>
      <c r="G33" s="155" t="s">
        <v>275</v>
      </c>
      <c r="H33" s="155">
        <v>5745718288</v>
      </c>
      <c r="I33" s="155" t="str">
        <f>IFERROR(VLOOKUP(G33,'20an'!$D:$J,7,0), "Sales tidak ada di data HR")</f>
        <v>Ahmad Sanusi</v>
      </c>
      <c r="J33" s="125" t="b">
        <f>I33='JAN26'!$D33</f>
        <v>1</v>
      </c>
      <c r="K33" s="112"/>
      <c r="L33" s="111"/>
    </row>
    <row r="34" spans="1:12" ht="15.75">
      <c r="A34" s="176" t="s">
        <v>265</v>
      </c>
      <c r="B34" s="176" t="s">
        <v>26</v>
      </c>
      <c r="C34" s="108" t="s">
        <v>277</v>
      </c>
      <c r="D34" s="197" t="s">
        <v>278</v>
      </c>
      <c r="E34" s="188">
        <v>43349</v>
      </c>
      <c r="F34" s="188"/>
      <c r="G34" s="155" t="s">
        <v>279</v>
      </c>
      <c r="H34" s="155">
        <v>5770551341</v>
      </c>
      <c r="I34" s="155" t="str">
        <f>IFERROR(VLOOKUP(G34,'20an'!$D:$J,7,0), "Sales tidak ada di data HR")</f>
        <v>Bonar Jumada</v>
      </c>
      <c r="J34" s="125" t="b">
        <f>I34='JAN26'!$D34</f>
        <v>1</v>
      </c>
      <c r="K34" s="112"/>
      <c r="L34" s="111"/>
    </row>
    <row r="35" spans="1:12" ht="15.75">
      <c r="A35" s="176" t="s">
        <v>265</v>
      </c>
      <c r="B35" s="176" t="s">
        <v>26</v>
      </c>
      <c r="C35" s="108" t="s">
        <v>281</v>
      </c>
      <c r="D35" s="197" t="s">
        <v>282</v>
      </c>
      <c r="E35" s="188">
        <v>43332</v>
      </c>
      <c r="F35" s="188"/>
      <c r="G35" s="155" t="s">
        <v>283</v>
      </c>
      <c r="H35" s="155">
        <v>2310272283</v>
      </c>
      <c r="I35" s="155" t="str">
        <f>IFERROR(VLOOKUP(G35,'20an'!$D:$J,7,0), "Sales tidak ada di data HR")</f>
        <v>Sales tidak ada di data HR</v>
      </c>
      <c r="J35" s="125" t="b">
        <f>I35='JAN26'!$D35</f>
        <v>0</v>
      </c>
      <c r="K35" s="112" t="s">
        <v>532</v>
      </c>
      <c r="L35" s="111"/>
    </row>
    <row r="36" spans="1:12">
      <c r="A36" s="176" t="s">
        <v>293</v>
      </c>
      <c r="B36" s="176" t="s">
        <v>26</v>
      </c>
      <c r="C36" s="143" t="s">
        <v>313</v>
      </c>
      <c r="D36" s="155" t="s">
        <v>314</v>
      </c>
      <c r="E36" s="188">
        <v>44533</v>
      </c>
      <c r="F36" s="188"/>
      <c r="G36" s="155" t="s">
        <v>315</v>
      </c>
      <c r="H36" s="155">
        <v>3210847285</v>
      </c>
      <c r="I36" s="155" t="str">
        <f>IFERROR(VLOOKUP(G36,'20an'!$D:$J,7,0), "Sales tidak ada di data HR")</f>
        <v>Faizal Abdul Jabbar</v>
      </c>
      <c r="J36" s="125" t="b">
        <f>I36='JAN26'!$D36</f>
        <v>1</v>
      </c>
    </row>
    <row r="37" spans="1:12">
      <c r="A37" s="176" t="s">
        <v>293</v>
      </c>
      <c r="B37" s="176" t="s">
        <v>26</v>
      </c>
      <c r="C37" s="143" t="s">
        <v>317</v>
      </c>
      <c r="D37" s="155" t="s">
        <v>318</v>
      </c>
      <c r="E37" s="188">
        <v>44781</v>
      </c>
      <c r="F37" s="188"/>
      <c r="G37" s="155" t="s">
        <v>319</v>
      </c>
      <c r="H37" s="155">
        <v>3210939872</v>
      </c>
      <c r="I37" s="155" t="str">
        <f>IFERROR(VLOOKUP(G37,'20an'!$D:$J,7,0), "Sales tidak ada di data HR")</f>
        <v>Septian Hermansyah</v>
      </c>
      <c r="J37" s="125" t="b">
        <f>I37='JAN26'!$D37</f>
        <v>1</v>
      </c>
    </row>
    <row r="38" spans="1:12">
      <c r="A38" s="176" t="s">
        <v>293</v>
      </c>
      <c r="B38" s="176" t="s">
        <v>26</v>
      </c>
      <c r="C38" s="143" t="s">
        <v>320</v>
      </c>
      <c r="D38" s="155" t="s">
        <v>321</v>
      </c>
      <c r="E38" s="188">
        <v>45824</v>
      </c>
      <c r="F38" s="188"/>
      <c r="G38" s="155" t="s">
        <v>322</v>
      </c>
      <c r="H38" s="155">
        <v>541621678</v>
      </c>
      <c r="I38" s="155" t="str">
        <f>IFERROR(VLOOKUP(G38,'20an'!$D:$J,7,0), "Sales tidak ada di data HR")</f>
        <v>Nandang Tata Yusmana</v>
      </c>
      <c r="J38" s="125" t="b">
        <f>I38='JAN26'!$D38</f>
        <v>1</v>
      </c>
    </row>
    <row r="39" spans="1:12" s="126" customFormat="1" ht="15.75">
      <c r="A39" s="182" t="s">
        <v>131</v>
      </c>
      <c r="B39" s="182" t="s">
        <v>26</v>
      </c>
      <c r="C39" s="132" t="s">
        <v>147</v>
      </c>
      <c r="D39" s="146" t="s">
        <v>148</v>
      </c>
      <c r="E39" s="174">
        <v>45817</v>
      </c>
      <c r="F39" s="174"/>
      <c r="G39" s="146" t="s">
        <v>149</v>
      </c>
      <c r="H39" s="146">
        <v>7380496873</v>
      </c>
      <c r="I39" s="146" t="str">
        <f>IFERROR(VLOOKUP(G39,'20an'!$D:$J,7,0), "Sales tidak ada di data HR")</f>
        <v>Ramli Nasution</v>
      </c>
      <c r="J39" s="140" t="b">
        <f>I39='JAN26'!$D39</f>
        <v>1</v>
      </c>
      <c r="K39" s="169"/>
      <c r="L39" s="169"/>
    </row>
    <row r="40" spans="1:12" ht="15.75">
      <c r="A40" s="176" t="s">
        <v>131</v>
      </c>
      <c r="B40" s="176" t="s">
        <v>26</v>
      </c>
      <c r="C40" s="108" t="s">
        <v>151</v>
      </c>
      <c r="D40" s="155" t="s">
        <v>152</v>
      </c>
      <c r="E40" s="188">
        <v>45426</v>
      </c>
      <c r="F40" s="188"/>
      <c r="G40" s="155" t="s">
        <v>153</v>
      </c>
      <c r="H40" s="155">
        <v>953412346</v>
      </c>
      <c r="I40" s="155" t="str">
        <f>IFERROR(VLOOKUP(G40,'20an'!$D:$J,7,0), "Sales tidak ada di data HR")</f>
        <v>Asep Permana Noor</v>
      </c>
      <c r="J40" s="125" t="b">
        <f>I40='JAN26'!$D40</f>
        <v>1</v>
      </c>
    </row>
    <row r="41" spans="1:12" ht="15.75">
      <c r="A41" s="176" t="s">
        <v>131</v>
      </c>
      <c r="B41" s="176" t="s">
        <v>26</v>
      </c>
      <c r="C41" s="108" t="s">
        <v>155</v>
      </c>
      <c r="D41" s="155" t="s">
        <v>156</v>
      </c>
      <c r="E41" s="188">
        <v>45616</v>
      </c>
      <c r="F41" s="188"/>
      <c r="G41" s="155" t="s">
        <v>157</v>
      </c>
      <c r="H41" s="155">
        <v>1672882235</v>
      </c>
      <c r="I41" s="155" t="str">
        <f>IFERROR(VLOOKUP(G41,'20an'!$D:$J,7,0), "Sales tidak ada di data HR")</f>
        <v>Fajar Nugraha</v>
      </c>
      <c r="J41" s="125" t="b">
        <f>I41='JAN26'!$D41</f>
        <v>1</v>
      </c>
    </row>
    <row r="42" spans="1:12" ht="15.75">
      <c r="A42" s="176" t="s">
        <v>131</v>
      </c>
      <c r="B42" s="176" t="s">
        <v>26</v>
      </c>
      <c r="C42" s="108" t="s">
        <v>159</v>
      </c>
      <c r="D42" s="155" t="s">
        <v>160</v>
      </c>
      <c r="E42" s="188">
        <v>44341</v>
      </c>
      <c r="F42" s="188"/>
      <c r="G42" s="155" t="s">
        <v>161</v>
      </c>
      <c r="H42" s="155">
        <v>8720710197</v>
      </c>
      <c r="I42" s="155" t="str">
        <f>IFERROR(VLOOKUP(G42,'20an'!$D:$J,7,0), "Sales tidak ada di data HR")</f>
        <v>Zaenudin</v>
      </c>
      <c r="J42" s="125" t="b">
        <f>I42='JAN26'!$D42</f>
        <v>1</v>
      </c>
    </row>
    <row r="43" spans="1:12" ht="15.75">
      <c r="A43" s="176" t="s">
        <v>131</v>
      </c>
      <c r="B43" s="176" t="s">
        <v>26</v>
      </c>
      <c r="C43" s="108" t="s">
        <v>162</v>
      </c>
      <c r="D43" s="143" t="s">
        <v>430</v>
      </c>
      <c r="E43" s="188">
        <v>43731</v>
      </c>
      <c r="F43" s="188"/>
      <c r="G43" s="155" t="s">
        <v>164</v>
      </c>
      <c r="H43" s="155">
        <v>3370017751</v>
      </c>
      <c r="I43" s="155" t="str">
        <f>IFERROR(VLOOKUP(G43,'20an'!$D:$J,7,0), "Sales tidak ada di data HR")</f>
        <v>Lucky Gema Christyan Syah</v>
      </c>
      <c r="J43" s="125" t="b">
        <f>I43='JAN26'!$D43</f>
        <v>1</v>
      </c>
    </row>
    <row r="44" spans="1:12" ht="15.75">
      <c r="A44" s="176" t="s">
        <v>131</v>
      </c>
      <c r="B44" s="176" t="s">
        <v>26</v>
      </c>
      <c r="C44" s="108" t="s">
        <v>165</v>
      </c>
      <c r="D44" s="155" t="s">
        <v>166</v>
      </c>
      <c r="E44" s="188">
        <v>45530</v>
      </c>
      <c r="F44" s="186">
        <v>46027</v>
      </c>
      <c r="G44" s="155" t="s">
        <v>167</v>
      </c>
      <c r="H44" s="155">
        <v>8720384575</v>
      </c>
      <c r="I44" s="155" t="str">
        <f>IFERROR(VLOOKUP(G44,'20an'!$D:$J,7,0), "Sales tidak ada di data HR")</f>
        <v>Sales tidak ada di data HR</v>
      </c>
      <c r="J44" s="125" t="b">
        <f>I44='JAN26'!$D44</f>
        <v>0</v>
      </c>
    </row>
    <row r="45" spans="1:12" ht="15.75">
      <c r="A45" s="176" t="s">
        <v>25</v>
      </c>
      <c r="B45" s="176" t="s">
        <v>84</v>
      </c>
      <c r="C45" s="108" t="s">
        <v>85</v>
      </c>
      <c r="D45" s="131" t="s">
        <v>86</v>
      </c>
      <c r="E45" s="188">
        <v>45896</v>
      </c>
      <c r="F45" s="188"/>
      <c r="G45" s="155" t="s">
        <v>87</v>
      </c>
      <c r="H45" s="155">
        <v>3790592777</v>
      </c>
      <c r="I45" s="155" t="str">
        <f>IFERROR(VLOOKUP(G45,'20an'!$D:$J,7,0), "Sales tidak ada di data HR")</f>
        <v>Asep Sopiyan</v>
      </c>
      <c r="J45" s="125" t="b">
        <f>I45='JAN26'!$D45</f>
        <v>1</v>
      </c>
      <c r="K45" s="113"/>
    </row>
    <row r="46" spans="1:12" ht="15.75">
      <c r="A46" s="176" t="s">
        <v>25</v>
      </c>
      <c r="B46" s="176" t="s">
        <v>84</v>
      </c>
      <c r="C46" s="108" t="s">
        <v>89</v>
      </c>
      <c r="D46" s="131" t="s">
        <v>90</v>
      </c>
      <c r="E46" s="188">
        <v>45904</v>
      </c>
      <c r="F46" s="188"/>
      <c r="G46" s="155" t="s">
        <v>91</v>
      </c>
      <c r="H46" s="155">
        <v>2800939910</v>
      </c>
      <c r="I46" s="155" t="str">
        <f>IFERROR(VLOOKUP(G46,'20an'!$D:$J,7,0), "Sales tidak ada di data HR")</f>
        <v>Hari Wiharyana</v>
      </c>
      <c r="J46" s="125" t="b">
        <f>I46='JAN26'!$D46</f>
        <v>1</v>
      </c>
      <c r="K46" s="113"/>
    </row>
    <row r="47" spans="1:12" ht="15.75">
      <c r="A47" s="176" t="s">
        <v>25</v>
      </c>
      <c r="B47" s="176" t="s">
        <v>84</v>
      </c>
      <c r="C47" s="108" t="s">
        <v>93</v>
      </c>
      <c r="D47" s="157" t="s">
        <v>82</v>
      </c>
      <c r="E47" s="188" t="s">
        <v>519</v>
      </c>
      <c r="F47" s="188"/>
      <c r="G47" s="155">
        <v>0</v>
      </c>
      <c r="H47" s="155">
        <v>0</v>
      </c>
      <c r="I47" s="155" t="str">
        <f>IFERROR(VLOOKUP(G47,'20an'!$D:$J,7,0), "Sales tidak ada di data HR")</f>
        <v>Sales tidak ada di data HR</v>
      </c>
      <c r="J47" s="125" t="b">
        <f>I47='JAN26'!$D47</f>
        <v>0</v>
      </c>
    </row>
    <row r="48" spans="1:12" ht="15.75">
      <c r="A48" s="176" t="s">
        <v>25</v>
      </c>
      <c r="B48" s="176" t="s">
        <v>84</v>
      </c>
      <c r="C48" s="108" t="s">
        <v>94</v>
      </c>
      <c r="D48" s="197" t="s">
        <v>396</v>
      </c>
      <c r="E48" s="188">
        <v>45727</v>
      </c>
      <c r="F48" s="188"/>
      <c r="G48" s="155" t="s">
        <v>96</v>
      </c>
      <c r="H48" s="178">
        <v>1560108695</v>
      </c>
      <c r="I48" s="155" t="str">
        <f>IFERROR(VLOOKUP(G48,'20an'!$D:$J,7,0), "Sales tidak ada di data HR")</f>
        <v>Gugun Hanafi</v>
      </c>
      <c r="J48" s="125" t="b">
        <f>I48='JAN26'!$D48</f>
        <v>1</v>
      </c>
      <c r="K48" s="111"/>
    </row>
    <row r="49" spans="1:12" ht="15.75">
      <c r="A49" s="176" t="s">
        <v>25</v>
      </c>
      <c r="B49" s="176" t="s">
        <v>84</v>
      </c>
      <c r="C49" s="108" t="s">
        <v>98</v>
      </c>
      <c r="D49" s="172" t="s">
        <v>82</v>
      </c>
      <c r="E49" s="188" t="s">
        <v>519</v>
      </c>
      <c r="F49" s="188"/>
      <c r="G49" s="155">
        <v>0</v>
      </c>
      <c r="H49" s="155">
        <v>0</v>
      </c>
      <c r="I49" s="155" t="str">
        <f>IFERROR(VLOOKUP(G49,'20an'!$D:$J,7,0), "Sales tidak ada di data HR")</f>
        <v>Sales tidak ada di data HR</v>
      </c>
      <c r="J49" s="125" t="b">
        <f>I49='JAN26'!$D49</f>
        <v>0</v>
      </c>
      <c r="K49" s="111"/>
    </row>
    <row r="50" spans="1:12" ht="15.75">
      <c r="A50" s="176" t="s">
        <v>25</v>
      </c>
      <c r="B50" s="176" t="s">
        <v>84</v>
      </c>
      <c r="C50" s="108" t="s">
        <v>99</v>
      </c>
      <c r="D50" s="197" t="s">
        <v>395</v>
      </c>
      <c r="E50" s="188">
        <v>45727</v>
      </c>
      <c r="F50" s="188"/>
      <c r="G50" s="155" t="s">
        <v>101</v>
      </c>
      <c r="H50" s="155">
        <v>7750965185</v>
      </c>
      <c r="I50" s="155" t="str">
        <f>IFERROR(VLOOKUP(G50,'20an'!$D:$J,7,0), "Sales tidak ada di data HR")</f>
        <v>Aditya Muhammad Ramdhan</v>
      </c>
      <c r="J50" s="125" t="b">
        <f>I50='JAN26'!$D50</f>
        <v>1</v>
      </c>
      <c r="K50" s="111"/>
    </row>
    <row r="51" spans="1:12">
      <c r="A51" s="176" t="s">
        <v>25</v>
      </c>
      <c r="B51" s="176" t="s">
        <v>84</v>
      </c>
      <c r="C51" s="197" t="s">
        <v>103</v>
      </c>
      <c r="D51" s="131" t="s">
        <v>104</v>
      </c>
      <c r="E51" s="188">
        <v>44858</v>
      </c>
      <c r="F51" s="188"/>
      <c r="G51" s="155" t="s">
        <v>105</v>
      </c>
      <c r="H51" s="155">
        <v>83879235</v>
      </c>
      <c r="I51" s="155" t="str">
        <f>IFERROR(VLOOKUP(G51,'20an'!$D:$J,7,0), "Sales tidak ada di data HR")</f>
        <v>Bagus Gumilar</v>
      </c>
      <c r="J51" s="125" t="b">
        <f>I51='JAN26'!$D51</f>
        <v>1</v>
      </c>
      <c r="K51" s="113"/>
    </row>
    <row r="52" spans="1:12">
      <c r="A52" s="176" t="s">
        <v>25</v>
      </c>
      <c r="B52" s="176" t="s">
        <v>84</v>
      </c>
      <c r="C52" s="197" t="s">
        <v>107</v>
      </c>
      <c r="D52" s="157" t="s">
        <v>108</v>
      </c>
      <c r="E52" s="188">
        <v>45792</v>
      </c>
      <c r="F52" s="188"/>
      <c r="G52" s="155" t="s">
        <v>109</v>
      </c>
      <c r="H52" s="155">
        <v>2831290783</v>
      </c>
      <c r="I52" s="155" t="str">
        <f>IFERROR(VLOOKUP(G52,'20an'!$D:$J,7,0), "Sales tidak ada di data HR")</f>
        <v>Muhammad Riki Safari</v>
      </c>
      <c r="J52" s="125" t="b">
        <f>I52='JAN26'!$D52</f>
        <v>1</v>
      </c>
      <c r="K52" s="114"/>
    </row>
    <row r="53" spans="1:12">
      <c r="A53" s="176" t="s">
        <v>25</v>
      </c>
      <c r="B53" s="176" t="s">
        <v>84</v>
      </c>
      <c r="C53" s="197" t="s">
        <v>110</v>
      </c>
      <c r="D53" s="157" t="s">
        <v>111</v>
      </c>
      <c r="E53" s="188">
        <v>45887</v>
      </c>
      <c r="F53" s="188"/>
      <c r="G53" s="155" t="s">
        <v>112</v>
      </c>
      <c r="H53" s="155">
        <v>8320689768</v>
      </c>
      <c r="I53" s="155" t="str">
        <f>IFERROR(VLOOKUP(G53,'20an'!$D:$J,7,0), "Sales tidak ada di data HR")</f>
        <v>Ikhsan Maulana Yusuf</v>
      </c>
      <c r="J53" s="125" t="b">
        <f>I53='JAN26'!$D53</f>
        <v>1</v>
      </c>
      <c r="K53" s="114"/>
    </row>
    <row r="54" spans="1:12">
      <c r="A54" s="176" t="s">
        <v>25</v>
      </c>
      <c r="B54" s="176" t="s">
        <v>84</v>
      </c>
      <c r="C54" s="197" t="s">
        <v>114</v>
      </c>
      <c r="D54" s="157" t="s">
        <v>397</v>
      </c>
      <c r="E54" s="188">
        <v>45792</v>
      </c>
      <c r="F54" s="188"/>
      <c r="G54" s="155" t="s">
        <v>116</v>
      </c>
      <c r="H54" s="155">
        <v>4310478577</v>
      </c>
      <c r="I54" s="155" t="str">
        <f>IFERROR(VLOOKUP(G54,'20an'!$D:$J,7,0), "Sales tidak ada di data HR")</f>
        <v>Anre Ikhsan Rosyadi</v>
      </c>
      <c r="J54" s="125" t="b">
        <f>I54='JAN26'!$D54</f>
        <v>1</v>
      </c>
      <c r="K54" s="114"/>
    </row>
    <row r="55" spans="1:12">
      <c r="A55" s="176" t="s">
        <v>25</v>
      </c>
      <c r="B55" s="176" t="s">
        <v>84</v>
      </c>
      <c r="C55" s="197" t="s">
        <v>118</v>
      </c>
      <c r="D55" s="157" t="s">
        <v>119</v>
      </c>
      <c r="E55" s="136">
        <v>45996</v>
      </c>
      <c r="F55" s="188"/>
      <c r="G55" s="131" t="s">
        <v>120</v>
      </c>
      <c r="H55" s="131">
        <v>4461503378</v>
      </c>
      <c r="I55" s="155" t="str">
        <f>IFERROR(VLOOKUP(G55,'20an'!$D:$J,7,0), "Sales tidak ada di data HR")</f>
        <v>Sales tidak ada di data HR</v>
      </c>
      <c r="J55" s="125" t="b">
        <f>I55='JAN26'!$D55</f>
        <v>0</v>
      </c>
      <c r="K55" s="114" t="s">
        <v>532</v>
      </c>
    </row>
    <row r="56" spans="1:12">
      <c r="A56" s="176" t="s">
        <v>25</v>
      </c>
      <c r="B56" s="176" t="s">
        <v>84</v>
      </c>
      <c r="C56" s="197" t="s">
        <v>126</v>
      </c>
      <c r="D56" s="197" t="s">
        <v>127</v>
      </c>
      <c r="E56" s="188">
        <v>46000</v>
      </c>
      <c r="F56" s="188"/>
      <c r="G56" s="155" t="s">
        <v>128</v>
      </c>
      <c r="H56" s="155">
        <v>8090609018</v>
      </c>
      <c r="I56" s="155" t="str">
        <f>IFERROR(VLOOKUP(G56,'20an'!$D:$J,7,0), "Sales tidak ada di data HR")</f>
        <v>Billy Sugiarto</v>
      </c>
      <c r="J56" s="125" t="b">
        <f>I56='JAN26'!$D56</f>
        <v>1</v>
      </c>
      <c r="K56" s="115"/>
    </row>
    <row r="57" spans="1:12" ht="15.75">
      <c r="A57" s="176" t="s">
        <v>265</v>
      </c>
      <c r="B57" s="176" t="s">
        <v>84</v>
      </c>
      <c r="C57" s="108" t="s">
        <v>289</v>
      </c>
      <c r="D57" s="197" t="s">
        <v>290</v>
      </c>
      <c r="E57" s="188">
        <v>45104</v>
      </c>
      <c r="F57" s="188"/>
      <c r="G57" s="155" t="s">
        <v>291</v>
      </c>
      <c r="H57" s="155">
        <v>662788285</v>
      </c>
      <c r="I57" s="155" t="str">
        <f>IFERROR(VLOOKUP(G57,'20an'!$D:$J,7,0), "Sales tidak ada di data HR")</f>
        <v>Afif Mustafa</v>
      </c>
      <c r="J57" s="125" t="b">
        <f>I57='JAN26'!$D57</f>
        <v>1</v>
      </c>
      <c r="K57" s="112"/>
      <c r="L57" s="111"/>
    </row>
    <row r="58" spans="1:12">
      <c r="A58" s="176" t="s">
        <v>207</v>
      </c>
      <c r="B58" s="176" t="s">
        <v>84</v>
      </c>
      <c r="C58" s="197" t="s">
        <v>253</v>
      </c>
      <c r="D58" s="197" t="s">
        <v>254</v>
      </c>
      <c r="E58" s="188">
        <v>45841</v>
      </c>
      <c r="F58" s="188"/>
      <c r="G58" s="155" t="s">
        <v>255</v>
      </c>
      <c r="H58" s="155">
        <v>8180252151</v>
      </c>
      <c r="I58" s="155" t="str">
        <f>IFERROR(VLOOKUP(G58,'20an'!$D:$J,7,0), "Sales tidak ada di data HR")</f>
        <v>Budi Handoko</v>
      </c>
      <c r="J58" s="125" t="b">
        <f>I58='JAN26'!$D58</f>
        <v>1</v>
      </c>
      <c r="K58" s="111"/>
      <c r="L58" s="111"/>
    </row>
    <row r="59" spans="1:12">
      <c r="A59" s="176" t="s">
        <v>207</v>
      </c>
      <c r="B59" s="176" t="s">
        <v>84</v>
      </c>
      <c r="C59" s="197" t="s">
        <v>257</v>
      </c>
      <c r="D59" s="197" t="s">
        <v>258</v>
      </c>
      <c r="E59" s="188">
        <v>45824</v>
      </c>
      <c r="F59" s="188"/>
      <c r="G59" s="155" t="s">
        <v>259</v>
      </c>
      <c r="H59" s="155">
        <v>1342304294</v>
      </c>
      <c r="I59" s="155" t="str">
        <f>IFERROR(VLOOKUP(G59,'20an'!$D:$J,7,0), "Sales tidak ada di data HR")</f>
        <v>Hernado</v>
      </c>
      <c r="J59" s="125" t="b">
        <f>I59='JAN26'!$D59</f>
        <v>1</v>
      </c>
      <c r="K59" s="111"/>
      <c r="L59" s="111"/>
    </row>
    <row r="60" spans="1:12">
      <c r="A60" s="176" t="s">
        <v>207</v>
      </c>
      <c r="B60" s="176" t="s">
        <v>84</v>
      </c>
      <c r="C60" s="197" t="s">
        <v>261</v>
      </c>
      <c r="D60" s="197" t="s">
        <v>262</v>
      </c>
      <c r="E60" s="188">
        <v>45873</v>
      </c>
      <c r="F60" s="188"/>
      <c r="G60" s="155" t="s">
        <v>263</v>
      </c>
      <c r="H60" s="155">
        <v>8180322745</v>
      </c>
      <c r="I60" s="155" t="str">
        <f>IFERROR(VLOOKUP(G60,'20an'!$D:$J,7,0), "Sales tidak ada di data HR")</f>
        <v>Sales tidak ada di data HR</v>
      </c>
      <c r="J60" s="125" t="b">
        <f>I60='JAN26'!$D60</f>
        <v>0</v>
      </c>
      <c r="K60" s="111" t="s">
        <v>532</v>
      </c>
      <c r="L60" s="111"/>
    </row>
    <row r="61" spans="1:12">
      <c r="A61" s="176" t="s">
        <v>293</v>
      </c>
      <c r="B61" s="176" t="s">
        <v>84</v>
      </c>
      <c r="C61" s="197" t="s">
        <v>343</v>
      </c>
      <c r="D61" s="155" t="s">
        <v>344</v>
      </c>
      <c r="E61" s="188">
        <v>44835</v>
      </c>
      <c r="F61" s="188"/>
      <c r="G61" s="155" t="s">
        <v>345</v>
      </c>
      <c r="H61" s="155">
        <v>2030529947</v>
      </c>
      <c r="I61" s="155" t="str">
        <f>IFERROR(VLOOKUP(G61,'20an'!$D:$J,7,0), "Sales tidak ada di data HR")</f>
        <v>Dudi Sidik Permana</v>
      </c>
      <c r="J61" s="125" t="b">
        <f>I61='JAN26'!$D61</f>
        <v>1</v>
      </c>
    </row>
    <row r="62" spans="1:12">
      <c r="A62" s="176" t="s">
        <v>293</v>
      </c>
      <c r="B62" s="176" t="s">
        <v>84</v>
      </c>
      <c r="C62" s="197" t="s">
        <v>346</v>
      </c>
      <c r="D62" s="197" t="s">
        <v>347</v>
      </c>
      <c r="E62" s="188">
        <v>44106</v>
      </c>
      <c r="F62" s="188"/>
      <c r="G62" s="155" t="s">
        <v>348</v>
      </c>
      <c r="H62" s="155">
        <v>541428037</v>
      </c>
      <c r="I62" s="155" t="str">
        <f>IFERROR(VLOOKUP(G62,'20an'!$D:$J,7,0), "Sales tidak ada di data HR")</f>
        <v>Rudi Ruswandi</v>
      </c>
      <c r="J62" s="125" t="b">
        <f>I62='JAN26'!$D62</f>
        <v>1</v>
      </c>
    </row>
    <row r="63" spans="1:12">
      <c r="A63" s="176" t="s">
        <v>293</v>
      </c>
      <c r="B63" s="176" t="s">
        <v>84</v>
      </c>
      <c r="C63" s="197" t="s">
        <v>350</v>
      </c>
      <c r="D63" s="197" t="s">
        <v>482</v>
      </c>
      <c r="E63" s="188">
        <v>45803</v>
      </c>
      <c r="F63" s="188"/>
      <c r="G63" s="155" t="s">
        <v>352</v>
      </c>
      <c r="H63" s="155">
        <v>2080770807</v>
      </c>
      <c r="I63" s="155" t="str">
        <f>IFERROR(VLOOKUP(G63,'20an'!$D:$J,7,0), "Sales tidak ada di data HR")</f>
        <v>Eri Aprilian Rusliana</v>
      </c>
      <c r="J63" s="125" t="b">
        <f>I63='JAN26'!$D63</f>
        <v>1</v>
      </c>
    </row>
    <row r="64" spans="1:12">
      <c r="A64" s="176" t="s">
        <v>293</v>
      </c>
      <c r="B64" s="176" t="s">
        <v>84</v>
      </c>
      <c r="C64" s="197" t="s">
        <v>354</v>
      </c>
      <c r="D64" s="155" t="s">
        <v>355</v>
      </c>
      <c r="E64" s="188">
        <v>44771</v>
      </c>
      <c r="F64" s="186">
        <v>46038</v>
      </c>
      <c r="G64" s="155" t="s">
        <v>356</v>
      </c>
      <c r="H64" s="155">
        <v>2090798238</v>
      </c>
      <c r="I64" s="155" t="str">
        <f>IFERROR(VLOOKUP(G64,'20an'!$D:$J,7,0), "Sales tidak ada di data HR")</f>
        <v>Sales tidak ada di data HR</v>
      </c>
      <c r="J64" s="125" t="b">
        <f>I64='JAN26'!$D64</f>
        <v>0</v>
      </c>
    </row>
    <row r="65" spans="1:11">
      <c r="A65" s="176" t="s">
        <v>293</v>
      </c>
      <c r="B65" s="176" t="s">
        <v>84</v>
      </c>
      <c r="C65" s="197" t="s">
        <v>357</v>
      </c>
      <c r="D65" s="155" t="s">
        <v>82</v>
      </c>
      <c r="E65" s="188" t="s">
        <v>519</v>
      </c>
      <c r="F65" s="188"/>
      <c r="G65" s="155">
        <v>0</v>
      </c>
      <c r="H65" s="155">
        <v>0</v>
      </c>
      <c r="I65" s="155" t="str">
        <f>IFERROR(VLOOKUP(G65,'20an'!$D:$J,7,0), "Sales tidak ada di data HR")</f>
        <v>Sales tidak ada di data HR</v>
      </c>
      <c r="J65" s="125" t="b">
        <f>I65='JAN26'!$D65</f>
        <v>0</v>
      </c>
    </row>
    <row r="66" spans="1:11">
      <c r="A66" s="176" t="s">
        <v>131</v>
      </c>
      <c r="B66" s="176" t="s">
        <v>84</v>
      </c>
      <c r="C66" s="197" t="s">
        <v>190</v>
      </c>
      <c r="D66" s="155" t="s">
        <v>191</v>
      </c>
      <c r="E66" s="188">
        <v>44496</v>
      </c>
      <c r="F66" s="188"/>
      <c r="G66" s="155" t="s">
        <v>192</v>
      </c>
      <c r="H66" s="155">
        <v>8691144780</v>
      </c>
      <c r="I66" s="155" t="str">
        <f>IFERROR(VLOOKUP(G66,'20an'!$D:$J,7,0), "Sales tidak ada di data HR")</f>
        <v>Lili Murtado</v>
      </c>
      <c r="J66" s="125" t="b">
        <f>I66='JAN26'!$D66</f>
        <v>1</v>
      </c>
    </row>
    <row r="67" spans="1:11">
      <c r="A67" s="176" t="s">
        <v>131</v>
      </c>
      <c r="B67" s="176" t="s">
        <v>84</v>
      </c>
      <c r="C67" s="197" t="s">
        <v>193</v>
      </c>
      <c r="D67" s="157" t="s">
        <v>194</v>
      </c>
      <c r="E67" s="188" t="s">
        <v>195</v>
      </c>
      <c r="F67" s="188"/>
      <c r="G67" s="155"/>
      <c r="H67" s="155"/>
      <c r="I67" s="155" t="str">
        <f>IFERROR(VLOOKUP(G67,'20an'!$D:$J,7,0), "Sales tidak ada di data HR")</f>
        <v>Sales tidak ada di data HR</v>
      </c>
      <c r="J67" s="125" t="b">
        <f>I67='JAN26'!$D67</f>
        <v>0</v>
      </c>
      <c r="K67" s="109" t="s">
        <v>532</v>
      </c>
    </row>
    <row r="68" spans="1:11">
      <c r="A68" s="176" t="s">
        <v>131</v>
      </c>
      <c r="B68" s="176" t="s">
        <v>84</v>
      </c>
      <c r="C68" s="197" t="s">
        <v>197</v>
      </c>
      <c r="D68" s="155" t="s">
        <v>198</v>
      </c>
      <c r="E68" s="188">
        <v>44903</v>
      </c>
      <c r="F68" s="188"/>
      <c r="G68" s="155" t="s">
        <v>199</v>
      </c>
      <c r="H68" s="155">
        <v>5470418682</v>
      </c>
      <c r="I68" s="155" t="str">
        <f>IFERROR(VLOOKUP(G68,'20an'!$D:$J,7,0), "Sales tidak ada di data HR")</f>
        <v>Febiansyah</v>
      </c>
      <c r="J68" s="125" t="b">
        <f>I68='JAN26'!$D68</f>
        <v>1</v>
      </c>
    </row>
    <row r="69" spans="1:11">
      <c r="A69" s="176" t="s">
        <v>131</v>
      </c>
      <c r="B69" s="176" t="s">
        <v>84</v>
      </c>
      <c r="C69" s="197" t="s">
        <v>201</v>
      </c>
      <c r="D69" s="155" t="s">
        <v>202</v>
      </c>
      <c r="E69" s="188">
        <v>45944</v>
      </c>
      <c r="F69" s="188"/>
      <c r="G69" s="155" t="s">
        <v>203</v>
      </c>
      <c r="H69" s="155">
        <v>953302303</v>
      </c>
      <c r="I69" s="155" t="str">
        <f>IFERROR(VLOOKUP(G69,'20an'!$D:$J,7,0), "Sales tidak ada di data HR")</f>
        <v>Artanto</v>
      </c>
      <c r="J69" s="125" t="b">
        <f>I69='JAN26'!$D69</f>
        <v>1</v>
      </c>
    </row>
    <row r="70" spans="1:11">
      <c r="A70" s="176" t="s">
        <v>131</v>
      </c>
      <c r="B70" s="176" t="s">
        <v>84</v>
      </c>
      <c r="C70" s="197" t="s">
        <v>205</v>
      </c>
      <c r="D70" s="155" t="s">
        <v>82</v>
      </c>
      <c r="E70" s="188" t="s">
        <v>519</v>
      </c>
      <c r="F70" s="188"/>
      <c r="G70" s="155">
        <v>0</v>
      </c>
      <c r="H70" s="155">
        <v>0</v>
      </c>
      <c r="I70" s="155" t="str">
        <f>IFERROR(VLOOKUP(G70,'20an'!$D:$J,7,0), "Sales tidak ada di data HR")</f>
        <v>Sales tidak ada di data HR</v>
      </c>
      <c r="J70" s="125" t="b">
        <f>I70='JAN26'!$D70</f>
        <v>0</v>
      </c>
    </row>
    <row r="71" spans="1:11">
      <c r="A71" s="176" t="s">
        <v>25</v>
      </c>
      <c r="B71" s="176" t="s">
        <v>50</v>
      </c>
      <c r="C71" s="197" t="s">
        <v>51</v>
      </c>
      <c r="D71" s="172" t="s">
        <v>52</v>
      </c>
      <c r="E71" s="188">
        <v>45334</v>
      </c>
      <c r="F71" s="188"/>
      <c r="G71" s="155" t="s">
        <v>53</v>
      </c>
      <c r="H71" s="155">
        <v>8103039361</v>
      </c>
      <c r="I71" s="155" t="str">
        <f>IFERROR(VLOOKUP(G71,'20an'!$D:$J,7,0), "Sales tidak ada di data HR")</f>
        <v>Agus Gunawan</v>
      </c>
      <c r="J71" s="125" t="b">
        <f>I71='JAN26'!$D71</f>
        <v>1</v>
      </c>
    </row>
    <row r="72" spans="1:11" ht="15.75">
      <c r="A72" s="176" t="s">
        <v>25</v>
      </c>
      <c r="B72" s="176" t="s">
        <v>50</v>
      </c>
      <c r="C72" s="108" t="s">
        <v>55</v>
      </c>
      <c r="D72" s="172" t="s">
        <v>56</v>
      </c>
      <c r="E72" s="188">
        <v>45978</v>
      </c>
      <c r="F72" s="188"/>
      <c r="G72" s="155" t="s">
        <v>57</v>
      </c>
      <c r="H72" s="155">
        <v>2831900280</v>
      </c>
      <c r="I72" s="155" t="str">
        <f>IFERROR(VLOOKUP(G72,'20an'!$D:$J,7,0), "Sales tidak ada di data HR")</f>
        <v>Tegoeh Pramono</v>
      </c>
      <c r="J72" s="125" t="b">
        <f>I72='JAN26'!$D72</f>
        <v>1</v>
      </c>
    </row>
    <row r="73" spans="1:11" ht="15.75">
      <c r="A73" s="176" t="s">
        <v>25</v>
      </c>
      <c r="B73" s="176" t="s">
        <v>50</v>
      </c>
      <c r="C73" s="108" t="s">
        <v>59</v>
      </c>
      <c r="D73" s="172" t="s">
        <v>60</v>
      </c>
      <c r="E73" s="188">
        <v>45999</v>
      </c>
      <c r="F73" s="188">
        <v>46031</v>
      </c>
      <c r="G73" s="155" t="s">
        <v>61</v>
      </c>
      <c r="H73" s="155">
        <v>7771774958</v>
      </c>
      <c r="I73" s="155" t="str">
        <f>IFERROR(VLOOKUP(G73,'20an'!$D:$J,7,0), "Sales tidak ada di data HR")</f>
        <v>Sales tidak ada di data HR</v>
      </c>
      <c r="J73" s="125" t="b">
        <f>I73='JAN26'!$D73</f>
        <v>0</v>
      </c>
    </row>
    <row r="74" spans="1:11" ht="15.75">
      <c r="A74" s="176" t="s">
        <v>25</v>
      </c>
      <c r="B74" s="176" t="s">
        <v>50</v>
      </c>
      <c r="C74" s="108" t="s">
        <v>63</v>
      </c>
      <c r="D74" s="172" t="s">
        <v>64</v>
      </c>
      <c r="E74" s="188">
        <v>45481</v>
      </c>
      <c r="F74" s="188"/>
      <c r="G74" s="155" t="s">
        <v>65</v>
      </c>
      <c r="H74" s="155">
        <v>1760287934</v>
      </c>
      <c r="I74" s="155" t="str">
        <f>IFERROR(VLOOKUP(G74,'20an'!$D:$J,7,0), "Sales tidak ada di data HR")</f>
        <v>Andre Setiawan</v>
      </c>
      <c r="J74" s="125" t="b">
        <f>I74='JAN26'!$D74</f>
        <v>1</v>
      </c>
    </row>
    <row r="75" spans="1:11" ht="15.75">
      <c r="A75" s="176" t="s">
        <v>25</v>
      </c>
      <c r="B75" s="176" t="s">
        <v>50</v>
      </c>
      <c r="C75" s="108" t="s">
        <v>67</v>
      </c>
      <c r="D75" s="139" t="s">
        <v>420</v>
      </c>
      <c r="E75" s="188">
        <v>45894</v>
      </c>
      <c r="F75" s="188"/>
      <c r="G75" s="155" t="s">
        <v>69</v>
      </c>
      <c r="H75" s="155">
        <v>2830811802</v>
      </c>
      <c r="I75" s="155" t="str">
        <f>IFERROR(VLOOKUP(G75,'20an'!$D:$J,7,0), "Sales tidak ada di data HR")</f>
        <v>Yus Yusuf Angga Setiabudi</v>
      </c>
      <c r="J75" s="125" t="b">
        <f>I75='JAN26'!$D75</f>
        <v>1</v>
      </c>
    </row>
    <row r="76" spans="1:11" ht="15.75">
      <c r="A76" s="176" t="s">
        <v>25</v>
      </c>
      <c r="B76" s="176" t="s">
        <v>50</v>
      </c>
      <c r="C76" s="108" t="s">
        <v>70</v>
      </c>
      <c r="D76" s="172" t="s">
        <v>71</v>
      </c>
      <c r="E76" s="188">
        <v>45713</v>
      </c>
      <c r="F76" s="188"/>
      <c r="G76" s="155" t="s">
        <v>72</v>
      </c>
      <c r="H76" s="155">
        <v>2801445111</v>
      </c>
      <c r="I76" s="155" t="str">
        <f>IFERROR(VLOOKUP(G76,'20an'!$D:$J,7,0), "Sales tidak ada di data HR")</f>
        <v>Erlan Sopiana</v>
      </c>
      <c r="J76" s="125" t="b">
        <f>I76='JAN26'!$D76</f>
        <v>1</v>
      </c>
    </row>
    <row r="77" spans="1:11" ht="15.75">
      <c r="A77" s="176" t="s">
        <v>25</v>
      </c>
      <c r="B77" s="176" t="s">
        <v>50</v>
      </c>
      <c r="C77" s="108" t="s">
        <v>74</v>
      </c>
      <c r="D77" s="172" t="s">
        <v>75</v>
      </c>
      <c r="E77" s="188">
        <v>45979</v>
      </c>
      <c r="F77" s="188"/>
      <c r="G77" s="155" t="s">
        <v>76</v>
      </c>
      <c r="H77" s="155">
        <v>1392396947</v>
      </c>
      <c r="I77" s="155" t="str">
        <f>IFERROR(VLOOKUP(G77,'20an'!$D:$J,7,0), "Sales tidak ada di data HR")</f>
        <v>Leo Ferdiansyah</v>
      </c>
      <c r="J77" s="125" t="b">
        <f>I77='JAN26'!$D77</f>
        <v>1</v>
      </c>
    </row>
    <row r="78" spans="1:11">
      <c r="A78" s="176" t="s">
        <v>25</v>
      </c>
      <c r="B78" s="176" t="s">
        <v>50</v>
      </c>
      <c r="C78" s="197" t="s">
        <v>78</v>
      </c>
      <c r="D78" s="197" t="s">
        <v>79</v>
      </c>
      <c r="E78" s="188">
        <v>45838</v>
      </c>
      <c r="F78" s="188"/>
      <c r="G78" s="155" t="s">
        <v>80</v>
      </c>
      <c r="H78" s="155">
        <v>8106058160</v>
      </c>
      <c r="I78" s="155" t="str">
        <f>IFERROR(VLOOKUP(G78,'20an'!$D:$J,7,0), "Sales tidak ada di data HR")</f>
        <v>Hendikus Waruwu</v>
      </c>
      <c r="J78" s="125" t="b">
        <f>I78='JAN26'!$D78</f>
        <v>1</v>
      </c>
    </row>
    <row r="79" spans="1:11">
      <c r="A79" s="176" t="s">
        <v>25</v>
      </c>
      <c r="B79" s="176" t="s">
        <v>50</v>
      </c>
      <c r="C79" s="197" t="s">
        <v>81</v>
      </c>
      <c r="D79" s="172" t="s">
        <v>82</v>
      </c>
      <c r="E79" s="188" t="s">
        <v>519</v>
      </c>
      <c r="F79" s="188"/>
      <c r="G79" s="155">
        <v>0</v>
      </c>
      <c r="H79" s="155">
        <v>0</v>
      </c>
      <c r="I79" s="155" t="str">
        <f>IFERROR(VLOOKUP(G79,'20an'!$D:$J,7,0), "Sales tidak ada di data HR")</f>
        <v>Sales tidak ada di data HR</v>
      </c>
      <c r="J79" s="125" t="b">
        <f>I79='JAN26'!$D79</f>
        <v>0</v>
      </c>
    </row>
    <row r="80" spans="1:11">
      <c r="A80" s="176"/>
      <c r="B80" s="176"/>
      <c r="C80" s="197" t="s">
        <v>363</v>
      </c>
      <c r="D80" s="172" t="s">
        <v>364</v>
      </c>
      <c r="E80" s="188">
        <v>44172</v>
      </c>
      <c r="F80" s="188"/>
      <c r="G80" s="155" t="s">
        <v>412</v>
      </c>
      <c r="H80" s="155">
        <v>631281850</v>
      </c>
      <c r="I80" s="155" t="str">
        <f>IFERROR(VLOOKUP(G80,'20an'!$D:$J,7,0), "Sales tidak ada di data HR")</f>
        <v>Aston Villa</v>
      </c>
      <c r="J80" s="125" t="b">
        <f>I80='JAN26'!$D80</f>
        <v>1</v>
      </c>
    </row>
    <row r="81" spans="1:12" ht="15.75">
      <c r="A81" s="176" t="s">
        <v>265</v>
      </c>
      <c r="B81" s="176" t="s">
        <v>50</v>
      </c>
      <c r="C81" s="108" t="s">
        <v>285</v>
      </c>
      <c r="D81" s="197" t="s">
        <v>286</v>
      </c>
      <c r="E81" s="188">
        <v>44538</v>
      </c>
      <c r="F81" s="188"/>
      <c r="G81" s="155" t="s">
        <v>287</v>
      </c>
      <c r="H81" s="155">
        <v>1092167482</v>
      </c>
      <c r="I81" s="155" t="str">
        <f>IFERROR(VLOOKUP(G81,'20an'!$D:$J,7,0), "Sales tidak ada di data HR")</f>
        <v>Asep Anang Rusmana</v>
      </c>
      <c r="J81" s="125" t="b">
        <f>I81='JAN26'!$D81</f>
        <v>1</v>
      </c>
      <c r="K81" s="112"/>
      <c r="L81" s="111"/>
    </row>
    <row r="82" spans="1:12">
      <c r="A82" s="176" t="s">
        <v>207</v>
      </c>
      <c r="B82" s="176" t="s">
        <v>50</v>
      </c>
      <c r="C82" s="197" t="s">
        <v>230</v>
      </c>
      <c r="D82" s="197" t="s">
        <v>231</v>
      </c>
      <c r="E82" s="188">
        <v>45509</v>
      </c>
      <c r="F82" s="188"/>
      <c r="G82" s="155" t="s">
        <v>232</v>
      </c>
      <c r="H82" s="155">
        <v>1342870354</v>
      </c>
      <c r="I82" s="155" t="str">
        <f>IFERROR(VLOOKUP(G82,'20an'!$D:$J,7,0), "Sales tidak ada di data HR")</f>
        <v>Deni Junaeni Adriyadi</v>
      </c>
      <c r="J82" s="125" t="b">
        <f>I82='JAN26'!$D82</f>
        <v>1</v>
      </c>
      <c r="K82" s="111"/>
      <c r="L82" s="111"/>
    </row>
    <row r="83" spans="1:12">
      <c r="A83" s="176" t="s">
        <v>207</v>
      </c>
      <c r="B83" s="176" t="s">
        <v>50</v>
      </c>
      <c r="C83" s="197" t="s">
        <v>234</v>
      </c>
      <c r="D83" s="197" t="s">
        <v>235</v>
      </c>
      <c r="E83" s="188">
        <v>45079</v>
      </c>
      <c r="F83" s="188"/>
      <c r="G83" s="155" t="s">
        <v>236</v>
      </c>
      <c r="H83" s="155">
        <v>1341798898</v>
      </c>
      <c r="I83" s="155" t="str">
        <f>IFERROR(VLOOKUP(G83,'20an'!$D:$J,7,0), "Sales tidak ada di data HR")</f>
        <v>Imam Santoso</v>
      </c>
      <c r="J83" s="125" t="b">
        <f>I83='JAN26'!$D83</f>
        <v>1</v>
      </c>
      <c r="K83" s="111"/>
      <c r="L83" s="111"/>
    </row>
    <row r="84" spans="1:12">
      <c r="A84" s="176" t="s">
        <v>207</v>
      </c>
      <c r="B84" s="176" t="s">
        <v>50</v>
      </c>
      <c r="C84" s="197" t="s">
        <v>238</v>
      </c>
      <c r="D84" s="197" t="s">
        <v>239</v>
      </c>
      <c r="E84" s="188">
        <v>45502</v>
      </c>
      <c r="F84" s="188"/>
      <c r="G84" s="155" t="s">
        <v>240</v>
      </c>
      <c r="H84" s="155">
        <v>1341470272</v>
      </c>
      <c r="I84" s="155" t="str">
        <f>IFERROR(VLOOKUP(G84,'20an'!$D:$J,7,0), "Sales tidak ada di data HR")</f>
        <v>Rahman Adi Kusuma</v>
      </c>
      <c r="J84" s="125" t="b">
        <f>I84='JAN26'!$D84</f>
        <v>1</v>
      </c>
      <c r="K84" s="111"/>
      <c r="L84" s="111"/>
    </row>
    <row r="85" spans="1:12">
      <c r="A85" s="176" t="s">
        <v>207</v>
      </c>
      <c r="B85" s="176" t="s">
        <v>50</v>
      </c>
      <c r="C85" s="197" t="s">
        <v>242</v>
      </c>
      <c r="D85" s="197" t="s">
        <v>243</v>
      </c>
      <c r="E85" s="188">
        <v>45419</v>
      </c>
      <c r="F85" s="188"/>
      <c r="G85" s="155" t="s">
        <v>244</v>
      </c>
      <c r="H85" s="155">
        <v>3741569866</v>
      </c>
      <c r="I85" s="155" t="str">
        <f>IFERROR(VLOOKUP(G85,'20an'!$D:$J,7,0), "Sales tidak ada di data HR")</f>
        <v>Rohmanudin</v>
      </c>
      <c r="J85" s="125" t="b">
        <f>I85='JAN26'!$D85</f>
        <v>1</v>
      </c>
      <c r="K85" s="111"/>
      <c r="L85" s="111"/>
    </row>
    <row r="86" spans="1:12">
      <c r="A86" s="176" t="s">
        <v>207</v>
      </c>
      <c r="B86" s="176" t="s">
        <v>50</v>
      </c>
      <c r="C86" s="197" t="s">
        <v>246</v>
      </c>
      <c r="D86" s="197" t="s">
        <v>247</v>
      </c>
      <c r="E86" s="188">
        <v>44655</v>
      </c>
      <c r="F86" s="188"/>
      <c r="G86" s="155" t="s">
        <v>248</v>
      </c>
      <c r="H86" s="155">
        <v>8180355414</v>
      </c>
      <c r="I86" s="155" t="str">
        <f>IFERROR(VLOOKUP(G86,'20an'!$D:$J,7,0), "Sales tidak ada di data HR")</f>
        <v>Willyanto</v>
      </c>
      <c r="J86" s="125" t="b">
        <f>I86='JAN26'!$D86</f>
        <v>1</v>
      </c>
      <c r="K86" s="111"/>
      <c r="L86" s="111"/>
    </row>
    <row r="87" spans="1:12">
      <c r="A87" s="176" t="s">
        <v>207</v>
      </c>
      <c r="B87" s="176" t="s">
        <v>50</v>
      </c>
      <c r="C87" s="197" t="s">
        <v>249</v>
      </c>
      <c r="D87" s="197" t="s">
        <v>250</v>
      </c>
      <c r="E87" s="188">
        <v>45418</v>
      </c>
      <c r="F87" s="188"/>
      <c r="G87" s="155" t="s">
        <v>251</v>
      </c>
      <c r="H87" s="155">
        <v>3741559241</v>
      </c>
      <c r="I87" s="155" t="str">
        <f>IFERROR(VLOOKUP(G87,'20an'!$D:$J,7,0), "Sales tidak ada di data HR")</f>
        <v>Abdurokhim</v>
      </c>
      <c r="J87" s="125" t="b">
        <f>I87='JAN26'!$D87</f>
        <v>1</v>
      </c>
      <c r="K87" s="111"/>
      <c r="L87" s="111"/>
    </row>
    <row r="88" spans="1:12">
      <c r="A88" s="176" t="s">
        <v>293</v>
      </c>
      <c r="B88" s="176" t="s">
        <v>50</v>
      </c>
      <c r="C88" s="143" t="s">
        <v>324</v>
      </c>
      <c r="D88" s="180" t="s">
        <v>498</v>
      </c>
      <c r="E88" s="188" t="s">
        <v>326</v>
      </c>
      <c r="F88" s="188"/>
      <c r="G88" s="131" t="s">
        <v>496</v>
      </c>
      <c r="H88" s="131" t="s">
        <v>497</v>
      </c>
      <c r="I88" s="155" t="str">
        <f>IFERROR(VLOOKUP(G88,'20an'!$D:$J,7,0), "Sales tidak ada di data HR")</f>
        <v>Edi Rosadi</v>
      </c>
      <c r="J88" s="125" t="b">
        <f>I88='JAN26'!$D88</f>
        <v>1</v>
      </c>
      <c r="K88" s="110"/>
    </row>
    <row r="89" spans="1:12">
      <c r="A89" s="176" t="s">
        <v>293</v>
      </c>
      <c r="B89" s="176" t="s">
        <v>50</v>
      </c>
      <c r="C89" s="143" t="s">
        <v>327</v>
      </c>
      <c r="D89" s="155" t="s">
        <v>328</v>
      </c>
      <c r="E89" s="188">
        <v>44907</v>
      </c>
      <c r="F89" s="188"/>
      <c r="G89" s="155" t="s">
        <v>329</v>
      </c>
      <c r="H89" s="155">
        <v>542022157</v>
      </c>
      <c r="I89" s="155" t="str">
        <f>IFERROR(VLOOKUP(G89,'20an'!$D:$J,7,0), "Sales tidak ada di data HR")</f>
        <v>Aditya Apta Tripurna</v>
      </c>
      <c r="J89" s="125" t="b">
        <f>I89='JAN26'!$D89</f>
        <v>1</v>
      </c>
      <c r="K89" s="110"/>
    </row>
    <row r="90" spans="1:12">
      <c r="A90" s="176" t="s">
        <v>293</v>
      </c>
      <c r="B90" s="176" t="s">
        <v>50</v>
      </c>
      <c r="C90" s="143" t="s">
        <v>331</v>
      </c>
      <c r="D90" s="155" t="s">
        <v>332</v>
      </c>
      <c r="E90" s="188">
        <v>45936</v>
      </c>
      <c r="F90" s="188"/>
      <c r="G90" s="155" t="s">
        <v>333</v>
      </c>
      <c r="H90" s="155">
        <v>1381618345</v>
      </c>
      <c r="I90" s="155" t="str">
        <f>IFERROR(VLOOKUP(G90,'20an'!$D:$J,7,0), "Sales tidak ada di data HR")</f>
        <v>Angga Dwitama</v>
      </c>
      <c r="J90" s="125" t="b">
        <f>I90='JAN26'!$D90</f>
        <v>1</v>
      </c>
      <c r="K90" s="110"/>
    </row>
    <row r="91" spans="1:12">
      <c r="A91" s="176" t="s">
        <v>293</v>
      </c>
      <c r="B91" s="176" t="s">
        <v>50</v>
      </c>
      <c r="C91" s="143" t="s">
        <v>335</v>
      </c>
      <c r="D91" s="197" t="s">
        <v>336</v>
      </c>
      <c r="E91" s="188">
        <v>45824</v>
      </c>
      <c r="F91" s="188"/>
      <c r="G91" s="155" t="s">
        <v>337</v>
      </c>
      <c r="H91" s="155">
        <v>542132653</v>
      </c>
      <c r="I91" s="155" t="str">
        <f>IFERROR(VLOOKUP(G91,'20an'!$D:$J,7,0), "Sales tidak ada di data HR")</f>
        <v>Asep Rachmat Sapaat</v>
      </c>
      <c r="J91" s="125" t="b">
        <f>I91='JAN26'!$D91</f>
        <v>1</v>
      </c>
      <c r="K91" s="110"/>
      <c r="L91" s="111"/>
    </row>
    <row r="92" spans="1:12">
      <c r="A92" s="176" t="s">
        <v>293</v>
      </c>
      <c r="B92" s="176" t="s">
        <v>50</v>
      </c>
      <c r="C92" s="143" t="s">
        <v>339</v>
      </c>
      <c r="D92" s="155" t="s">
        <v>340</v>
      </c>
      <c r="E92" s="188">
        <v>45996</v>
      </c>
      <c r="F92" s="188"/>
      <c r="G92" s="155" t="s">
        <v>341</v>
      </c>
      <c r="H92" s="155">
        <v>1381641738</v>
      </c>
      <c r="I92" s="155" t="str">
        <f>IFERROR(VLOOKUP(G92,'20an'!$D:$J,7,0), "Sales tidak ada di data HR")</f>
        <v>Irfan Setiawan</v>
      </c>
      <c r="J92" s="125" t="b">
        <f>I92='JAN26'!$D92</f>
        <v>1</v>
      </c>
      <c r="K92" s="110"/>
    </row>
    <row r="93" spans="1:12">
      <c r="A93" s="176" t="s">
        <v>131</v>
      </c>
      <c r="B93" s="176" t="s">
        <v>50</v>
      </c>
      <c r="C93" s="197" t="s">
        <v>169</v>
      </c>
      <c r="D93" s="197" t="s">
        <v>170</v>
      </c>
      <c r="E93" s="188">
        <v>45894</v>
      </c>
      <c r="F93" s="188"/>
      <c r="G93" s="155" t="s">
        <v>171</v>
      </c>
      <c r="H93" s="155">
        <v>8720170974</v>
      </c>
      <c r="I93" s="155" t="str">
        <f>IFERROR(VLOOKUP(G93,'20an'!$D:$J,7,0), "Sales tidak ada di data HR")</f>
        <v>Abdul Agus</v>
      </c>
      <c r="J93" s="125" t="b">
        <f>I93='JAN26'!$D93</f>
        <v>1</v>
      </c>
    </row>
    <row r="94" spans="1:12">
      <c r="A94" s="176" t="s">
        <v>131</v>
      </c>
      <c r="B94" s="176" t="s">
        <v>50</v>
      </c>
      <c r="C94" s="197" t="s">
        <v>173</v>
      </c>
      <c r="D94" s="155" t="s">
        <v>174</v>
      </c>
      <c r="E94" s="188">
        <v>45607</v>
      </c>
      <c r="F94" s="188"/>
      <c r="G94" s="155" t="s">
        <v>175</v>
      </c>
      <c r="H94" s="155">
        <v>954790581</v>
      </c>
      <c r="I94" s="155" t="str">
        <f>IFERROR(VLOOKUP(G94,'20an'!$D:$J,7,0), "Sales tidak ada di data HR")</f>
        <v>Antonio Rifaldo</v>
      </c>
      <c r="J94" s="125" t="b">
        <f>I94='JAN26'!$D94</f>
        <v>1</v>
      </c>
    </row>
    <row r="95" spans="1:12">
      <c r="A95" s="176" t="s">
        <v>131</v>
      </c>
      <c r="B95" s="176" t="s">
        <v>50</v>
      </c>
      <c r="C95" s="197" t="s">
        <v>177</v>
      </c>
      <c r="D95" s="155" t="s">
        <v>178</v>
      </c>
      <c r="E95" s="188">
        <v>44979</v>
      </c>
      <c r="F95" s="188"/>
      <c r="G95" s="155" t="s">
        <v>179</v>
      </c>
      <c r="H95" s="155">
        <v>7120059186</v>
      </c>
      <c r="I95" s="155" t="str">
        <f>IFERROR(VLOOKUP(G95,'20an'!$D:$J,7,0), "Sales tidak ada di data HR")</f>
        <v>Ahmad Daud Abdullah</v>
      </c>
      <c r="J95" s="125" t="b">
        <f>I95='JAN26'!$D95</f>
        <v>1</v>
      </c>
    </row>
    <row r="96" spans="1:12">
      <c r="A96" s="176" t="s">
        <v>131</v>
      </c>
      <c r="B96" s="176" t="s">
        <v>50</v>
      </c>
      <c r="C96" s="197" t="s">
        <v>181</v>
      </c>
      <c r="D96" s="155" t="s">
        <v>182</v>
      </c>
      <c r="E96" s="188">
        <v>44739</v>
      </c>
      <c r="F96" s="188"/>
      <c r="G96" s="155" t="s">
        <v>183</v>
      </c>
      <c r="H96" s="155">
        <v>1742087799</v>
      </c>
      <c r="I96" s="155" t="str">
        <f>IFERROR(VLOOKUP(G96,'20an'!$D:$J,7,0), "Sales tidak ada di data HR")</f>
        <v>Rian Rudian</v>
      </c>
      <c r="J96" s="125" t="b">
        <f>I96='JAN26'!$D96</f>
        <v>1</v>
      </c>
    </row>
    <row r="97" spans="1:12">
      <c r="A97" s="176" t="s">
        <v>131</v>
      </c>
      <c r="B97" s="176" t="s">
        <v>50</v>
      </c>
      <c r="C97" s="197" t="s">
        <v>185</v>
      </c>
      <c r="D97" s="155" t="s">
        <v>186</v>
      </c>
      <c r="E97" s="188">
        <v>44902</v>
      </c>
      <c r="F97" s="188"/>
      <c r="G97" s="155" t="s">
        <v>187</v>
      </c>
      <c r="H97" s="155">
        <v>630100844</v>
      </c>
      <c r="I97" s="155" t="str">
        <f>IFERROR(VLOOKUP(G97,'20an'!$D:$J,7,0), "Sales tidak ada di data HR")</f>
        <v>Gati Kusmanto</v>
      </c>
      <c r="J97" s="125" t="b">
        <f>I97='JAN26'!$D97</f>
        <v>1</v>
      </c>
    </row>
    <row r="98" spans="1:12">
      <c r="A98" s="107" t="s">
        <v>131</v>
      </c>
      <c r="B98" s="107" t="s">
        <v>26</v>
      </c>
      <c r="C98" s="107" t="s">
        <v>517</v>
      </c>
      <c r="D98" s="107" t="s">
        <v>518</v>
      </c>
      <c r="E98" s="179">
        <v>45901</v>
      </c>
      <c r="F98" s="107"/>
      <c r="G98" s="107" t="s">
        <v>432</v>
      </c>
      <c r="H98" s="107">
        <v>6820539786</v>
      </c>
      <c r="I98" s="155" t="str">
        <f>IFERROR(VLOOKUP(G98,'20an'!$D:$J,7,0), "Sales tidak ada di data HR")</f>
        <v>Zainal Hakiki</v>
      </c>
      <c r="J98" s="125" t="b">
        <f>I98='JAN26'!$D98</f>
        <v>1</v>
      </c>
    </row>
    <row r="99" spans="1:12" s="194" customFormat="1">
      <c r="A99" s="107" t="s">
        <v>131</v>
      </c>
      <c r="B99" s="107" t="s">
        <v>50</v>
      </c>
      <c r="C99" s="107" t="s">
        <v>520</v>
      </c>
      <c r="D99" s="107" t="s">
        <v>441</v>
      </c>
      <c r="E99" s="179">
        <v>45414</v>
      </c>
      <c r="F99" s="107"/>
      <c r="G99" s="107" t="s">
        <v>439</v>
      </c>
      <c r="H99" s="107">
        <v>953571843</v>
      </c>
      <c r="I99" s="155" t="str">
        <f>IFERROR(VLOOKUP(G99,'20an'!$D:$J,7,0), "Sales tidak ada di data HR")</f>
        <v>Nanda Amelia</v>
      </c>
      <c r="J99" s="125" t="b">
        <f>I99='JAN26'!$D99</f>
        <v>1</v>
      </c>
      <c r="K99" s="204"/>
      <c r="L99" s="204"/>
    </row>
    <row r="100" spans="1:12" s="194" customFormat="1">
      <c r="A100" s="107" t="s">
        <v>131</v>
      </c>
      <c r="B100" s="107" t="s">
        <v>132</v>
      </c>
      <c r="C100" s="107" t="s">
        <v>521</v>
      </c>
      <c r="D100" s="107" t="s">
        <v>446</v>
      </c>
      <c r="E100" s="179">
        <v>44875</v>
      </c>
      <c r="F100" s="107"/>
      <c r="G100" s="107" t="s">
        <v>444</v>
      </c>
      <c r="H100" s="107">
        <v>380581647</v>
      </c>
      <c r="I100" s="155" t="str">
        <f>IFERROR(VLOOKUP(G100,'20an'!$D:$J,7,0), "Sales tidak ada di data HR")</f>
        <v>Endriyanto</v>
      </c>
      <c r="J100" s="125" t="b">
        <f>I100='JAN26'!$D100</f>
        <v>1</v>
      </c>
      <c r="K100" s="204"/>
      <c r="L100" s="204"/>
    </row>
    <row r="101" spans="1:12" s="194" customFormat="1">
      <c r="A101" s="107" t="s">
        <v>131</v>
      </c>
      <c r="B101" s="107" t="s">
        <v>50</v>
      </c>
      <c r="C101" s="107" t="s">
        <v>522</v>
      </c>
      <c r="D101" s="107" t="s">
        <v>451</v>
      </c>
      <c r="E101" s="179">
        <v>45124</v>
      </c>
      <c r="F101" s="107"/>
      <c r="G101" s="107" t="s">
        <v>449</v>
      </c>
      <c r="H101" s="107">
        <v>8410839165</v>
      </c>
      <c r="I101" s="155" t="str">
        <f>IFERROR(VLOOKUP(G101,'20an'!$D:$J,7,0), "Sales tidak ada di data HR")</f>
        <v>Ida Sugiarti</v>
      </c>
      <c r="J101" s="125" t="b">
        <f>I101='JAN26'!$D101</f>
        <v>1</v>
      </c>
      <c r="K101" s="204"/>
      <c r="L101" s="204"/>
    </row>
    <row r="102" spans="1:12" s="194" customFormat="1">
      <c r="A102" s="184" t="s">
        <v>25</v>
      </c>
      <c r="B102" s="184" t="s">
        <v>84</v>
      </c>
      <c r="C102" s="184" t="s">
        <v>122</v>
      </c>
      <c r="D102" s="146" t="s">
        <v>392</v>
      </c>
      <c r="E102" s="153">
        <v>45169</v>
      </c>
      <c r="F102" s="184"/>
      <c r="G102" s="190" t="s">
        <v>391</v>
      </c>
      <c r="H102" s="150" t="s">
        <v>125</v>
      </c>
      <c r="I102" s="146" t="str">
        <f>IFERROR(VLOOKUP(G102,'20an'!$D:$J,7,0), "Sales tidak ada di data HR")</f>
        <v>Ricki Galih Ginanjar</v>
      </c>
      <c r="J102" s="140" t="b">
        <f>I102='JAN26'!$D102</f>
        <v>1</v>
      </c>
      <c r="K102" s="204"/>
      <c r="L102" s="204"/>
    </row>
    <row r="103" spans="1:12">
      <c r="A103" s="184" t="s">
        <v>131</v>
      </c>
      <c r="B103" s="184" t="s">
        <v>26</v>
      </c>
      <c r="C103" s="184" t="s">
        <v>165</v>
      </c>
      <c r="D103" s="146" t="s">
        <v>438</v>
      </c>
      <c r="E103" s="154">
        <v>46051</v>
      </c>
      <c r="F103" s="184"/>
      <c r="G103" s="190" t="s">
        <v>436</v>
      </c>
      <c r="H103" s="152" t="s">
        <v>437</v>
      </c>
      <c r="I103" s="146" t="str">
        <f>IFERROR(VLOOKUP(G103,'20an'!$D:$J,7,0), "Sales tidak ada di data HR")</f>
        <v>Fitrah Ramadhan</v>
      </c>
      <c r="J103" s="140" t="b">
        <f>I103='JAN26'!$D103</f>
        <v>1</v>
      </c>
    </row>
    <row r="104" spans="1:12">
      <c r="A104" s="184" t="s">
        <v>207</v>
      </c>
      <c r="B104" s="184"/>
      <c r="C104" s="184" t="s">
        <v>524</v>
      </c>
      <c r="D104" s="146" t="s">
        <v>462</v>
      </c>
      <c r="E104" s="153">
        <v>44669</v>
      </c>
      <c r="F104" s="184"/>
      <c r="G104" s="190" t="s">
        <v>461</v>
      </c>
      <c r="H104" s="150">
        <v>8180379941</v>
      </c>
      <c r="I104" s="146" t="str">
        <f>IFERROR(VLOOKUP(G104,'20an'!$D:$J,7,0), "Sales tidak ada di data HR")</f>
        <v>Ismanto</v>
      </c>
      <c r="J104" s="140" t="b">
        <f>I104='JAN26'!$D104</f>
        <v>1</v>
      </c>
    </row>
    <row r="105" spans="1:12">
      <c r="A105" s="184" t="s">
        <v>207</v>
      </c>
      <c r="B105" s="184" t="s">
        <v>132</v>
      </c>
      <c r="C105" s="184" t="s">
        <v>525</v>
      </c>
      <c r="D105" s="146" t="s">
        <v>466</v>
      </c>
      <c r="E105" s="153">
        <v>44645</v>
      </c>
      <c r="F105" s="184"/>
      <c r="G105" s="190" t="s">
        <v>465</v>
      </c>
      <c r="H105" s="150">
        <v>8180374729</v>
      </c>
      <c r="I105" s="146" t="str">
        <f>IFERROR(VLOOKUP(G105,'20an'!$D:$J,7,0), "Sales tidak ada di data HR")</f>
        <v>Moch Apip</v>
      </c>
      <c r="J105" s="140" t="b">
        <f>I105='JAN26'!$D105</f>
        <v>1</v>
      </c>
    </row>
    <row r="106" spans="1:12">
      <c r="A106" s="184" t="s">
        <v>207</v>
      </c>
      <c r="B106" s="184" t="s">
        <v>84</v>
      </c>
      <c r="C106" s="184" t="s">
        <v>526</v>
      </c>
      <c r="D106" s="146" t="s">
        <v>469</v>
      </c>
      <c r="E106" s="153">
        <v>44034</v>
      </c>
      <c r="F106" s="184"/>
      <c r="G106" s="190" t="s">
        <v>468</v>
      </c>
      <c r="H106" s="150">
        <v>4380053131</v>
      </c>
      <c r="I106" s="146" t="str">
        <f>IFERROR(VLOOKUP(G106,'20an'!$D:$J,7,0), "Sales tidak ada di data HR")</f>
        <v>Rastha Kawistara</v>
      </c>
      <c r="J106" s="140" t="b">
        <f>I106='JAN26'!$D106</f>
        <v>1</v>
      </c>
    </row>
    <row r="107" spans="1:12">
      <c r="A107" s="184" t="s">
        <v>207</v>
      </c>
      <c r="B107" s="184" t="s">
        <v>50</v>
      </c>
      <c r="C107" s="184" t="s">
        <v>527</v>
      </c>
      <c r="D107" s="146" t="s">
        <v>474</v>
      </c>
      <c r="E107" s="153">
        <v>44816</v>
      </c>
      <c r="F107" s="184"/>
      <c r="G107" s="190" t="s">
        <v>473</v>
      </c>
      <c r="H107" s="150">
        <v>3740904263</v>
      </c>
      <c r="I107" s="146" t="str">
        <f>IFERROR(VLOOKUP(G107,'20an'!$D:$J,7,0), "Sales tidak ada di data HR")</f>
        <v>Aldy Sulistio</v>
      </c>
      <c r="J107" s="140" t="b">
        <f>I107='JAN26'!$D107</f>
        <v>1</v>
      </c>
    </row>
    <row r="108" spans="1:12">
      <c r="A108" s="184" t="s">
        <v>293</v>
      </c>
      <c r="B108" s="184" t="s">
        <v>84</v>
      </c>
      <c r="C108" s="184" t="s">
        <v>528</v>
      </c>
      <c r="D108" s="146" t="s">
        <v>480</v>
      </c>
      <c r="E108" s="153">
        <v>44816</v>
      </c>
      <c r="F108" s="184"/>
      <c r="G108" s="190" t="s">
        <v>478</v>
      </c>
      <c r="H108" s="150" t="s">
        <v>479</v>
      </c>
      <c r="I108" s="146" t="str">
        <f>IFERROR(VLOOKUP(G108,'20an'!$D:$J,7,0), "Sales tidak ada di data HR")</f>
        <v>Ar Ar Satia Rahmat</v>
      </c>
      <c r="J108" s="140" t="b">
        <f>I108='JAN26'!$D108</f>
        <v>1</v>
      </c>
    </row>
    <row r="109" spans="1:12">
      <c r="A109" s="184" t="s">
        <v>293</v>
      </c>
      <c r="B109" s="184" t="s">
        <v>132</v>
      </c>
      <c r="C109" s="184" t="s">
        <v>529</v>
      </c>
      <c r="D109" s="146" t="s">
        <v>485</v>
      </c>
      <c r="E109" s="153">
        <v>43740</v>
      </c>
      <c r="F109" s="184"/>
      <c r="G109" s="190" t="s">
        <v>483</v>
      </c>
      <c r="H109" s="150" t="s">
        <v>484</v>
      </c>
      <c r="I109" s="146" t="str">
        <f>IFERROR(VLOOKUP(G109,'20an'!$D:$J,7,0), "Sales tidak ada di data HR")</f>
        <v>Rikza Maulana</v>
      </c>
      <c r="J109" s="140" t="b">
        <f>I109='JAN26'!$D109</f>
        <v>1</v>
      </c>
    </row>
    <row r="110" spans="1:12">
      <c r="A110" s="184" t="s">
        <v>293</v>
      </c>
      <c r="B110" s="184" t="s">
        <v>50</v>
      </c>
      <c r="C110" s="184" t="s">
        <v>530</v>
      </c>
      <c r="D110" s="146" t="s">
        <v>491</v>
      </c>
      <c r="E110" s="153">
        <v>43675</v>
      </c>
      <c r="F110" s="184"/>
      <c r="G110" s="190" t="s">
        <v>489</v>
      </c>
      <c r="H110" s="150" t="s">
        <v>490</v>
      </c>
      <c r="I110" s="146" t="str">
        <f>IFERROR(VLOOKUP(G110,'20an'!$D:$J,7,0), "Sales tidak ada di data HR")</f>
        <v>Asep Mamat Harisudin</v>
      </c>
      <c r="J110" s="140" t="b">
        <f>I110='JAN26'!$D110</f>
        <v>1</v>
      </c>
    </row>
    <row r="111" spans="1:12">
      <c r="A111" s="184" t="s">
        <v>293</v>
      </c>
      <c r="B111" s="129" t="s">
        <v>26</v>
      </c>
      <c r="C111" s="129" t="s">
        <v>531</v>
      </c>
      <c r="D111" s="185" t="s">
        <v>501</v>
      </c>
      <c r="E111" s="153">
        <v>43740</v>
      </c>
      <c r="F111" s="129"/>
      <c r="G111" s="190" t="s">
        <v>500</v>
      </c>
      <c r="H111" s="150">
        <v>2090538252</v>
      </c>
      <c r="I111" s="185" t="str">
        <f>IFERROR(VLOOKUP(G111,'20an'!$D:$J,7,0), "Sales tidak ada di data HR")</f>
        <v>Ade Hendra</v>
      </c>
      <c r="J111" s="167" t="b">
        <f>I111='JAN26'!$D111</f>
        <v>1</v>
      </c>
    </row>
  </sheetData>
  <conditionalFormatting sqref="C24:C31 C2 A2:B97 C49:C56">
    <cfRule type="containsText" dxfId="126" priority="59" operator="containsText" text="vacant">
      <formula>NOT(ISERROR(SEARCH("vacant",A2)))</formula>
    </cfRule>
  </conditionalFormatting>
  <conditionalFormatting sqref="C71:C96">
    <cfRule type="containsText" dxfId="125" priority="63" operator="containsText" text="vacant">
      <formula>NOT(ISERROR(SEARCH("vacant",C71)))</formula>
    </cfRule>
  </conditionalFormatting>
  <conditionalFormatting sqref="C69:C70 C57:C62">
    <cfRule type="containsText" dxfId="124" priority="64" operator="containsText" text="vacant">
      <formula>NOT(ISERROR(SEARCH("vacant",C57)))</formula>
    </cfRule>
  </conditionalFormatting>
  <conditionalFormatting sqref="C3:C18">
    <cfRule type="containsText" dxfId="123" priority="62" operator="containsText" text="vacant">
      <formula>NOT(ISERROR(SEARCH("vacant",C3)))</formula>
    </cfRule>
  </conditionalFormatting>
  <conditionalFormatting sqref="C37:C48">
    <cfRule type="containsText" dxfId="122" priority="61" operator="containsText" text="vacant">
      <formula>NOT(ISERROR(SEARCH("vacant",C37)))</formula>
    </cfRule>
  </conditionalFormatting>
  <conditionalFormatting sqref="D15">
    <cfRule type="containsText" dxfId="121" priority="58" operator="containsText" text="vacant">
      <formula>NOT(ISERROR(SEARCH("vacant",D15)))</formula>
    </cfRule>
  </conditionalFormatting>
  <conditionalFormatting sqref="D15">
    <cfRule type="containsText" dxfId="120" priority="57" operator="containsText" text="vac">
      <formula>NOT(ISERROR(SEARCH("vac",D15)))</formula>
    </cfRule>
  </conditionalFormatting>
  <conditionalFormatting sqref="D25">
    <cfRule type="containsText" dxfId="119" priority="56" operator="containsText" text="vacant">
      <formula>NOT(ISERROR(SEARCH("vacant",D25)))</formula>
    </cfRule>
  </conditionalFormatting>
  <conditionalFormatting sqref="D25">
    <cfRule type="containsText" dxfId="118" priority="55" operator="containsText" text="vac">
      <formula>NOT(ISERROR(SEARCH("vac",D25)))</formula>
    </cfRule>
  </conditionalFormatting>
  <conditionalFormatting sqref="D43">
    <cfRule type="containsText" dxfId="117" priority="54" operator="containsText" text="vacant">
      <formula>NOT(ISERROR(SEARCH("vacant",D43)))</formula>
    </cfRule>
  </conditionalFormatting>
  <conditionalFormatting sqref="D43">
    <cfRule type="containsText" dxfId="116" priority="53" operator="containsText" text="vac">
      <formula>NOT(ISERROR(SEARCH("vac",D43)))</formula>
    </cfRule>
  </conditionalFormatting>
  <conditionalFormatting sqref="D49">
    <cfRule type="containsText" dxfId="115" priority="52" operator="containsText" text="vacant">
      <formula>NOT(ISERROR(SEARCH("vacant",D49)))</formula>
    </cfRule>
  </conditionalFormatting>
  <conditionalFormatting sqref="D49">
    <cfRule type="containsText" dxfId="114" priority="51" operator="containsText" text="vac">
      <formula>NOT(ISERROR(SEARCH("vac",D49)))</formula>
    </cfRule>
  </conditionalFormatting>
  <conditionalFormatting sqref="D67">
    <cfRule type="containsText" dxfId="113" priority="50" operator="containsText" text="vacant">
      <formula>NOT(ISERROR(SEARCH("vacant",D67)))</formula>
    </cfRule>
  </conditionalFormatting>
  <conditionalFormatting sqref="D67">
    <cfRule type="containsText" dxfId="112" priority="49" operator="containsText" text="vac">
      <formula>NOT(ISERROR(SEARCH("vac",D67)))</formula>
    </cfRule>
  </conditionalFormatting>
  <conditionalFormatting sqref="D78">
    <cfRule type="containsText" dxfId="111" priority="48" operator="containsText" text="vac">
      <formula>NOT(ISERROR(SEARCH("vac",D78)))</formula>
    </cfRule>
  </conditionalFormatting>
  <conditionalFormatting sqref="D91">
    <cfRule type="containsText" dxfId="110" priority="47" operator="containsText" text="vacant">
      <formula>NOT(ISERROR(SEARCH("vacant",D91)))</formula>
    </cfRule>
  </conditionalFormatting>
  <conditionalFormatting sqref="D91">
    <cfRule type="containsText" dxfId="109" priority="46" operator="containsText" text="vac">
      <formula>NOT(ISERROR(SEARCH("vac",D91)))</formula>
    </cfRule>
  </conditionalFormatting>
  <conditionalFormatting sqref="D62">
    <cfRule type="containsText" dxfId="108" priority="45" operator="containsText" text="vacant">
      <formula>NOT(ISERROR(SEARCH("vacant",D62)))</formula>
    </cfRule>
  </conditionalFormatting>
  <conditionalFormatting sqref="D62">
    <cfRule type="containsText" dxfId="107" priority="44" operator="containsText" text="vac">
      <formula>NOT(ISERROR(SEARCH("vac",D62)))</formula>
    </cfRule>
  </conditionalFormatting>
  <conditionalFormatting sqref="D63">
    <cfRule type="containsText" dxfId="106" priority="43" operator="containsText" text="vacant">
      <formula>NOT(ISERROR(SEARCH("vacant",D63)))</formula>
    </cfRule>
  </conditionalFormatting>
  <conditionalFormatting sqref="D63">
    <cfRule type="containsText" dxfId="105" priority="42" operator="containsText" text="vac">
      <formula>NOT(ISERROR(SEARCH("vac",D63)))</formula>
    </cfRule>
  </conditionalFormatting>
  <conditionalFormatting sqref="D64">
    <cfRule type="containsText" dxfId="104" priority="41" operator="containsText" text="vacant">
      <formula>NOT(ISERROR(SEARCH("vacant",D64)))</formula>
    </cfRule>
  </conditionalFormatting>
  <conditionalFormatting sqref="D64">
    <cfRule type="containsText" dxfId="103" priority="40" operator="containsText" text="vac">
      <formula>NOT(ISERROR(SEARCH("vac",D64)))</formula>
    </cfRule>
  </conditionalFormatting>
  <conditionalFormatting sqref="D56">
    <cfRule type="containsText" dxfId="102" priority="39" operator="containsText" text="vac">
      <formula>NOT(ISERROR(SEARCH("vac",D56)))</formula>
    </cfRule>
  </conditionalFormatting>
  <conditionalFormatting sqref="D47">
    <cfRule type="containsText" dxfId="101" priority="38" operator="containsText" text="vacant">
      <formula>NOT(ISERROR(SEARCH("vacant",D47)))</formula>
    </cfRule>
  </conditionalFormatting>
  <conditionalFormatting sqref="D47">
    <cfRule type="containsText" dxfId="100" priority="37" operator="containsText" text="vac">
      <formula>NOT(ISERROR(SEARCH("vac",D47)))</formula>
    </cfRule>
  </conditionalFormatting>
  <conditionalFormatting sqref="K48">
    <cfRule type="containsText" dxfId="99" priority="36" operator="containsText" text="vac">
      <formula>NOT(ISERROR(SEARCH("vac",K48)))</formula>
    </cfRule>
  </conditionalFormatting>
  <conditionalFormatting sqref="K49:K50">
    <cfRule type="containsText" dxfId="98" priority="35" operator="containsText" text="vac">
      <formula>NOT(ISERROR(SEARCH("vac",K49)))</formula>
    </cfRule>
  </conditionalFormatting>
  <conditionalFormatting sqref="K52">
    <cfRule type="containsText" dxfId="97" priority="34" operator="containsText" text="vacant">
      <formula>NOT(ISERROR(SEARCH("vacant",K52)))</formula>
    </cfRule>
  </conditionalFormatting>
  <conditionalFormatting sqref="K52">
    <cfRule type="containsText" dxfId="96" priority="33" operator="containsText" text="vac">
      <formula>NOT(ISERROR(SEARCH("vac",K52)))</formula>
    </cfRule>
  </conditionalFormatting>
  <conditionalFormatting sqref="K54:K55">
    <cfRule type="containsText" dxfId="95" priority="32" operator="containsText" text="vacant">
      <formula>NOT(ISERROR(SEARCH("vacant",K54)))</formula>
    </cfRule>
  </conditionalFormatting>
  <conditionalFormatting sqref="K54:K55">
    <cfRule type="containsText" dxfId="94" priority="31" operator="containsText" text="vac">
      <formula>NOT(ISERROR(SEARCH("vac",K54)))</formula>
    </cfRule>
  </conditionalFormatting>
  <conditionalFormatting sqref="K53">
    <cfRule type="containsText" dxfId="93" priority="30" operator="containsText" text="vacant">
      <formula>NOT(ISERROR(SEARCH("vacant",K53)))</formula>
    </cfRule>
  </conditionalFormatting>
  <conditionalFormatting sqref="K53">
    <cfRule type="containsText" dxfId="92" priority="29" operator="containsText" text="vac">
      <formula>NOT(ISERROR(SEARCH("vac",K53)))</formula>
    </cfRule>
  </conditionalFormatting>
  <conditionalFormatting sqref="D48">
    <cfRule type="containsText" dxfId="91" priority="28" operator="containsText" text="vac">
      <formula>NOT(ISERROR(SEARCH("vac",D48)))</formula>
    </cfRule>
  </conditionalFormatting>
  <conditionalFormatting sqref="D50">
    <cfRule type="containsText" dxfId="90" priority="27" operator="containsText" text="vac">
      <formula>NOT(ISERROR(SEARCH("vac",D50)))</formula>
    </cfRule>
  </conditionalFormatting>
  <conditionalFormatting sqref="D52">
    <cfRule type="containsText" dxfId="89" priority="26" operator="containsText" text="vacant">
      <formula>NOT(ISERROR(SEARCH("vacant",D52)))</formula>
    </cfRule>
  </conditionalFormatting>
  <conditionalFormatting sqref="D52">
    <cfRule type="containsText" dxfId="88" priority="25" operator="containsText" text="vac">
      <formula>NOT(ISERROR(SEARCH("vac",D52)))</formula>
    </cfRule>
  </conditionalFormatting>
  <conditionalFormatting sqref="D54:D55">
    <cfRule type="containsText" dxfId="87" priority="24" operator="containsText" text="vacant">
      <formula>NOT(ISERROR(SEARCH("vacant",D54)))</formula>
    </cfRule>
  </conditionalFormatting>
  <conditionalFormatting sqref="D54:D55">
    <cfRule type="containsText" dxfId="86" priority="23" operator="containsText" text="vac">
      <formula>NOT(ISERROR(SEARCH("vac",D54)))</formula>
    </cfRule>
  </conditionalFormatting>
  <conditionalFormatting sqref="D53">
    <cfRule type="containsText" dxfId="85" priority="22" operator="containsText" text="vacant">
      <formula>NOT(ISERROR(SEARCH("vacant",D53)))</formula>
    </cfRule>
  </conditionalFormatting>
  <conditionalFormatting sqref="D53">
    <cfRule type="containsText" dxfId="84" priority="21" operator="containsText" text="vac">
      <formula>NOT(ISERROR(SEARCH("vac",D53)))</formula>
    </cfRule>
  </conditionalFormatting>
  <conditionalFormatting sqref="K11:K16">
    <cfRule type="containsText" dxfId="83" priority="20" operator="containsText" text="vacant">
      <formula>NOT(ISERROR(SEARCH("vacant",K11)))</formula>
    </cfRule>
  </conditionalFormatting>
  <conditionalFormatting sqref="K58:K60">
    <cfRule type="containsText" dxfId="82" priority="19" operator="containsText" text="vacant">
      <formula>NOT(ISERROR(SEARCH("vacant",K58)))</formula>
    </cfRule>
  </conditionalFormatting>
  <conditionalFormatting sqref="K82:K87">
    <cfRule type="containsText" dxfId="81" priority="18" operator="containsText" text="vacant">
      <formula>NOT(ISERROR(SEARCH("vacant",K82)))</formula>
    </cfRule>
  </conditionalFormatting>
  <conditionalFormatting sqref="K17:K18">
    <cfRule type="containsText" dxfId="80" priority="17" operator="containsText" text="vacant">
      <formula>NOT(ISERROR(SEARCH("vacant",K17)))</formula>
    </cfRule>
  </conditionalFormatting>
  <conditionalFormatting sqref="K10">
    <cfRule type="containsText" dxfId="79" priority="16" operator="containsText" text="vacant">
      <formula>NOT(ISERROR(SEARCH("vacant",K10)))</formula>
    </cfRule>
  </conditionalFormatting>
  <conditionalFormatting sqref="K57">
    <cfRule type="containsText" dxfId="78" priority="15" operator="containsText" text="vacant">
      <formula>NOT(ISERROR(SEARCH("vacant",K57)))</formula>
    </cfRule>
  </conditionalFormatting>
  <conditionalFormatting sqref="K81">
    <cfRule type="containsText" dxfId="77" priority="14" operator="containsText" text="vacant">
      <formula>NOT(ISERROR(SEARCH("vacant",K81)))</formula>
    </cfRule>
  </conditionalFormatting>
  <conditionalFormatting sqref="K88:K92">
    <cfRule type="containsText" dxfId="76" priority="13" operator="containsText" text="vacant">
      <formula>NOT(ISERROR(SEARCH("vacant",K88)))</formula>
    </cfRule>
  </conditionalFormatting>
  <conditionalFormatting sqref="L91">
    <cfRule type="containsText" dxfId="75" priority="12" operator="containsText" text="vacant">
      <formula>NOT(ISERROR(SEARCH("vacant",L91)))</formula>
    </cfRule>
  </conditionalFormatting>
  <conditionalFormatting sqref="L91">
    <cfRule type="containsText" dxfId="74" priority="11" operator="containsText" text="vac">
      <formula>NOT(ISERROR(SEARCH("vac",L91)))</formula>
    </cfRule>
  </conditionalFormatting>
  <conditionalFormatting sqref="A112:J1048576 F102:F111 I102:J111 A102:D111 A1:J101">
    <cfRule type="containsText" dxfId="73" priority="7" operator="containsText" text="FALSE">
      <formula>NOT(ISERROR(SEARCH("FALSE",A1)))</formula>
    </cfRule>
    <cfRule type="containsText" dxfId="72" priority="8" operator="containsText" text="TRUE">
      <formula>NOT(ISERROR(SEARCH("TRUE",A1)))</formula>
    </cfRule>
  </conditionalFormatting>
  <conditionalFormatting sqref="L3">
    <cfRule type="containsText" dxfId="71" priority="5" operator="containsText" text="vacant">
      <formula>NOT(ISERROR(SEARCH("vacant",L3)))</formula>
    </cfRule>
  </conditionalFormatting>
  <conditionalFormatting sqref="L3:L6">
    <cfRule type="containsText" dxfId="70" priority="3" operator="containsText" text="FALSE">
      <formula>NOT(ISERROR(SEARCH("FALSE",L3)))</formula>
    </cfRule>
    <cfRule type="containsText" dxfId="69" priority="4" operator="containsText" text="TRUE">
      <formula>NOT(ISERROR(SEARCH("TRUE",L3)))</formula>
    </cfRule>
  </conditionalFormatting>
  <conditionalFormatting sqref="L4">
    <cfRule type="containsText" dxfId="68" priority="2" operator="containsText" text="vacant">
      <formula>NOT(ISERROR(SEARCH("vacant",L4)))</formula>
    </cfRule>
  </conditionalFormatting>
  <conditionalFormatting sqref="L6">
    <cfRule type="containsText" dxfId="67" priority="1" operator="containsText" text="vacant">
      <formula>NOT(ISERROR(SEARCH("vacant",L6)))</formula>
    </cfRule>
  </conditionalFormatting>
  <pageMargins left="0.7" right="0.7" top="0.75" bottom="0.75" header="0.3" footer="0.3"/>
  <pageSetup paperSize="9" orientation="portrait" horizontalDpi="0" verticalDpi="0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BD1DC4-9649-4E7C-A396-3D71E1016637}">
  <dimension ref="A1:S5"/>
  <sheetViews>
    <sheetView workbookViewId="0">
      <selection activeCell="L18" sqref="L18"/>
    </sheetView>
  </sheetViews>
  <sheetFormatPr defaultRowHeight="15"/>
  <cols>
    <col min="1" max="1" width="4.85546875" customWidth="1"/>
    <col min="2" max="2" width="5.85546875" customWidth="1"/>
    <col min="3" max="3" width="5.7109375" customWidth="1"/>
    <col min="4" max="4" width="12.140625" bestFit="1" customWidth="1"/>
    <col min="5" max="5" width="12.42578125" customWidth="1"/>
    <col min="6" max="6" width="10.42578125" customWidth="1"/>
    <col min="7" max="7" width="12.42578125" customWidth="1"/>
    <col min="8" max="8" width="12.7109375" customWidth="1"/>
    <col min="9" max="9" width="11" bestFit="1" customWidth="1"/>
    <col min="10" max="10" width="19" customWidth="1"/>
    <col min="11" max="11" width="12" customWidth="1"/>
    <col min="12" max="12" width="38.28515625" bestFit="1" customWidth="1"/>
    <col min="13" max="13" width="12" customWidth="1"/>
    <col min="14" max="14" width="9.140625" customWidth="1"/>
    <col min="15" max="15" width="10.42578125" customWidth="1"/>
    <col min="16" max="16" width="13.28515625" customWidth="1"/>
  </cols>
  <sheetData>
    <row r="1" spans="1:19" ht="16.5" customHeight="1">
      <c r="A1" s="57" t="s">
        <v>366</v>
      </c>
      <c r="B1" s="58" t="s">
        <v>367</v>
      </c>
      <c r="C1" s="58" t="s">
        <v>368</v>
      </c>
      <c r="D1" s="58" t="s">
        <v>6</v>
      </c>
      <c r="E1" s="59" t="s">
        <v>512</v>
      </c>
      <c r="F1" s="60" t="s">
        <v>513</v>
      </c>
      <c r="G1" s="61" t="s">
        <v>514</v>
      </c>
      <c r="H1" s="57" t="s">
        <v>369</v>
      </c>
      <c r="I1" s="58" t="s">
        <v>370</v>
      </c>
      <c r="J1" s="58" t="s">
        <v>371</v>
      </c>
      <c r="K1" s="62" t="s">
        <v>372</v>
      </c>
      <c r="L1" s="58" t="s">
        <v>373</v>
      </c>
      <c r="M1" s="63" t="s">
        <v>374</v>
      </c>
      <c r="N1" s="58" t="s">
        <v>375</v>
      </c>
      <c r="O1" s="62" t="s">
        <v>376</v>
      </c>
      <c r="P1" s="58" t="s">
        <v>377</v>
      </c>
      <c r="Q1" s="41"/>
      <c r="S1" s="39"/>
    </row>
    <row r="2" spans="1:19">
      <c r="A2" s="55" t="s">
        <v>378</v>
      </c>
      <c r="B2" s="31" t="s">
        <v>379</v>
      </c>
      <c r="C2" s="31">
        <v>1</v>
      </c>
      <c r="D2" s="31" t="s">
        <v>504</v>
      </c>
      <c r="E2" s="56">
        <v>0</v>
      </c>
      <c r="F2" s="56">
        <v>0</v>
      </c>
      <c r="G2" s="56">
        <v>0</v>
      </c>
      <c r="H2" s="43">
        <f ca="1">((YEAR(TODAY())-YEAR(M2))*12+MONTH(TODAY())-MONTH(M2))/12</f>
        <v>5.416666666666667</v>
      </c>
      <c r="I2" s="44">
        <v>1380425293</v>
      </c>
      <c r="J2" s="31" t="s">
        <v>505</v>
      </c>
      <c r="K2" s="37">
        <v>46034</v>
      </c>
      <c r="L2" s="54" t="s">
        <v>493</v>
      </c>
      <c r="M2" s="45">
        <v>44172</v>
      </c>
      <c r="N2" s="31" t="s">
        <v>383</v>
      </c>
      <c r="O2" s="45">
        <v>33757</v>
      </c>
      <c r="P2" s="46"/>
    </row>
    <row r="3" spans="1:19">
      <c r="A3" s="55" t="s">
        <v>378</v>
      </c>
      <c r="B3" s="31" t="s">
        <v>379</v>
      </c>
      <c r="C3" s="31">
        <v>2</v>
      </c>
      <c r="D3" s="31" t="s">
        <v>506</v>
      </c>
      <c r="E3" s="53">
        <v>0</v>
      </c>
      <c r="F3" s="53">
        <v>0</v>
      </c>
      <c r="G3" s="53">
        <v>0</v>
      </c>
      <c r="H3" s="43">
        <f ca="1">((YEAR(TODAY())-YEAR(M3))*12+MONTH(TODAY())-MONTH(M3))/12</f>
        <v>0.66666666666666663</v>
      </c>
      <c r="I3" s="48" t="s">
        <v>507</v>
      </c>
      <c r="J3" s="31" t="s">
        <v>508</v>
      </c>
      <c r="K3" s="37">
        <v>46034</v>
      </c>
      <c r="L3" s="52" t="s">
        <v>509</v>
      </c>
      <c r="M3" s="51">
        <v>45908</v>
      </c>
      <c r="N3" s="31" t="s">
        <v>383</v>
      </c>
      <c r="O3" s="51">
        <v>33122</v>
      </c>
      <c r="P3" s="46"/>
    </row>
    <row r="4" spans="1:19">
      <c r="A4" s="55" t="s">
        <v>378</v>
      </c>
      <c r="B4" s="31" t="s">
        <v>379</v>
      </c>
      <c r="C4" s="31">
        <v>3</v>
      </c>
      <c r="D4" s="31" t="s">
        <v>61</v>
      </c>
      <c r="E4" s="42">
        <v>0</v>
      </c>
      <c r="F4" s="42">
        <v>0</v>
      </c>
      <c r="G4" s="42">
        <v>0</v>
      </c>
      <c r="H4" s="43">
        <f t="shared" ref="H4" ca="1" si="0">((YEAR(TODAY())-YEAR(M4))*12+MONTH(TODAY())-MONTH(M4))/12</f>
        <v>0.41666666666666669</v>
      </c>
      <c r="I4" s="44" t="s">
        <v>62</v>
      </c>
      <c r="J4" s="47" t="s">
        <v>510</v>
      </c>
      <c r="K4" s="37">
        <v>46031</v>
      </c>
      <c r="L4" s="31" t="s">
        <v>417</v>
      </c>
      <c r="M4" s="45">
        <v>45999</v>
      </c>
      <c r="N4" s="31" t="s">
        <v>383</v>
      </c>
      <c r="O4" s="45">
        <v>33239</v>
      </c>
      <c r="P4" s="49"/>
    </row>
    <row r="5" spans="1:19">
      <c r="A5" s="55" t="s">
        <v>378</v>
      </c>
      <c r="B5" s="31" t="s">
        <v>379</v>
      </c>
      <c r="C5" s="31">
        <v>4</v>
      </c>
      <c r="D5" s="31" t="s">
        <v>356</v>
      </c>
      <c r="E5" s="56">
        <v>0</v>
      </c>
      <c r="F5" s="56">
        <v>0</v>
      </c>
      <c r="G5" s="56">
        <v>0</v>
      </c>
      <c r="H5" s="43">
        <f ca="1">((YEAR(TODAY())-YEAR(M5))*12+MONTH(TODAY())-MONTH(M5))/12</f>
        <v>3.8333333333333335</v>
      </c>
      <c r="I5" s="44">
        <v>2090798238</v>
      </c>
      <c r="J5" s="31" t="s">
        <v>355</v>
      </c>
      <c r="K5" s="37">
        <v>46041</v>
      </c>
      <c r="L5" s="31" t="s">
        <v>477</v>
      </c>
      <c r="M5" s="45">
        <v>44771</v>
      </c>
      <c r="N5" s="31" t="s">
        <v>383</v>
      </c>
      <c r="O5" s="45">
        <v>34092</v>
      </c>
      <c r="P5" s="49" t="s">
        <v>416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E157BB-0184-436C-9F28-E881D2555037}">
  <dimension ref="A1:I51"/>
  <sheetViews>
    <sheetView topLeftCell="A37" workbookViewId="0">
      <selection activeCell="J56" sqref="J56"/>
    </sheetView>
  </sheetViews>
  <sheetFormatPr defaultRowHeight="15"/>
  <cols>
    <col min="1" max="1" width="8.7109375" bestFit="1" customWidth="1"/>
    <col min="2" max="2" width="11.5703125" customWidth="1"/>
    <col min="3" max="3" width="10.5703125" bestFit="1" customWidth="1"/>
    <col min="4" max="4" width="26" bestFit="1" customWidth="1"/>
    <col min="5" max="5" width="12.140625" bestFit="1" customWidth="1"/>
    <col min="6" max="6" width="11.5703125" customWidth="1"/>
    <col min="7" max="7" width="12.140625" bestFit="1" customWidth="1"/>
    <col min="8" max="8" width="11" bestFit="1" customWidth="1"/>
    <col min="12" max="12" width="13.7109375" customWidth="1"/>
    <col min="13" max="13" width="12.85546875" customWidth="1"/>
    <col min="14" max="14" width="26.28515625" customWidth="1"/>
    <col min="15" max="15" width="12.140625" bestFit="1" customWidth="1"/>
    <col min="16" max="16" width="10.28515625" bestFit="1" customWidth="1"/>
    <col min="17" max="17" width="14.5703125" customWidth="1"/>
    <col min="18" max="18" width="13.140625" customWidth="1"/>
  </cols>
  <sheetData>
    <row r="1" spans="1:9">
      <c r="A1" s="40" t="s">
        <v>24</v>
      </c>
      <c r="B1" s="40"/>
      <c r="C1" s="40"/>
      <c r="D1" s="40"/>
      <c r="E1" s="40"/>
      <c r="F1" s="40"/>
      <c r="G1" s="40"/>
      <c r="H1" s="40"/>
    </row>
    <row r="2" spans="1:9" ht="15.75" thickBot="1"/>
    <row r="3" spans="1:9">
      <c r="A3" s="1" t="s">
        <v>0</v>
      </c>
      <c r="B3" s="2" t="s">
        <v>1</v>
      </c>
      <c r="C3" s="2" t="s">
        <v>2</v>
      </c>
      <c r="D3" s="3" t="s">
        <v>3</v>
      </c>
      <c r="E3" s="4" t="s">
        <v>4</v>
      </c>
      <c r="F3" s="2" t="s">
        <v>5</v>
      </c>
      <c r="G3" s="2" t="s">
        <v>6</v>
      </c>
      <c r="H3" s="5" t="s">
        <v>7</v>
      </c>
    </row>
    <row r="4" spans="1:9">
      <c r="A4" s="6" t="str">
        <f t="shared" ref="A4:A11" si="0">IF(LEFT(RIGHT(C4,2),1)="0","Bandung",IF(LEFT(RIGHT(C4,2),1)="2","PCK",IF(LEFT(RIGHT(C4,2),1)="6","Cirebon",IF(LEFT(RIGHT(C4,2),1)="7","Tasik",IF(LEFT(RIGHT(C4,2),1)="8","Bogor","")))))</f>
        <v>Bandung</v>
      </c>
      <c r="B4" s="7" t="str">
        <f t="shared" ref="B4:B10" si="1">IF(LEFT(C4,2)="EL","Elektrik",IF(LEFT(C4,2)="PP","Pipa Pompa",IF(LEFT(C4,2)="IC","ICI",IF(LEFT(C4,2)="PI","Pipamas",""))))</f>
        <v>Elektrik</v>
      </c>
      <c r="C4" s="8" t="s">
        <v>8</v>
      </c>
      <c r="D4" s="9" t="s">
        <v>9</v>
      </c>
      <c r="E4" s="10" t="str">
        <f>IFERROR(INDEX(#REF!,MATCH([1]!Table79101112[[#This Row],[Januari]],#REF!,0)),"kosong")</f>
        <v>kosong</v>
      </c>
      <c r="F4" s="10"/>
      <c r="G4" s="11" t="str">
        <f>IFERROR(INDEX(#REF!,MATCH([1]!Table79101112[[#This Row],[Januari]],#REF!,0)),"")</f>
        <v/>
      </c>
      <c r="H4" s="12" t="str">
        <f>IFERROR(INDEX(#REF!,MATCH([1]!Table79101112[[#This Row],[Januari]],#REF!,0)),"")</f>
        <v/>
      </c>
    </row>
    <row r="5" spans="1:9">
      <c r="A5" s="13" t="str">
        <f t="shared" si="0"/>
        <v>Bandung</v>
      </c>
      <c r="B5" s="14" t="str">
        <f t="shared" si="1"/>
        <v>Elektrik</v>
      </c>
      <c r="C5" s="15" t="s">
        <v>10</v>
      </c>
      <c r="D5" s="16" t="s">
        <v>11</v>
      </c>
      <c r="E5" s="17" t="str">
        <f>IFERROR(INDEX(#REF!,MATCH([1]!Table79101112[[#This Row],[Januari]],#REF!,0)),"kosong")</f>
        <v>kosong</v>
      </c>
      <c r="F5" s="17"/>
      <c r="G5" s="18" t="str">
        <f>IFERROR(INDEX(#REF!,MATCH([1]!Table79101112[[#This Row],[Januari]],#REF!,0)),"")</f>
        <v/>
      </c>
      <c r="H5" s="19" t="str">
        <f>IFERROR(INDEX(#REF!,MATCH([1]!Table79101112[[#This Row],[Januari]],#REF!,0)),"")</f>
        <v/>
      </c>
    </row>
    <row r="6" spans="1:9">
      <c r="A6" s="6" t="str">
        <f t="shared" si="0"/>
        <v>Bandung</v>
      </c>
      <c r="B6" s="7" t="str">
        <f t="shared" si="1"/>
        <v>Elektrik</v>
      </c>
      <c r="C6" s="8" t="s">
        <v>12</v>
      </c>
      <c r="D6" s="9" t="s">
        <v>13</v>
      </c>
      <c r="E6" s="10" t="str">
        <f>IFERROR(INDEX(#REF!,MATCH([1]!Table79101112[[#This Row],[Januari]],#REF!,0)),"kosong")</f>
        <v>kosong</v>
      </c>
      <c r="F6" s="10"/>
      <c r="G6" s="11" t="str">
        <f>IFERROR(INDEX(#REF!,MATCH([1]!Table79101112[[#This Row],[Januari]],#REF!,0)),"")</f>
        <v/>
      </c>
      <c r="H6" s="12" t="str">
        <f>IFERROR(INDEX(#REF!,MATCH([1]!Table79101112[[#This Row],[Januari]],#REF!,0)),"")</f>
        <v/>
      </c>
      <c r="I6" t="s">
        <v>358</v>
      </c>
    </row>
    <row r="7" spans="1:9">
      <c r="A7" s="13" t="str">
        <f t="shared" si="0"/>
        <v>Bandung</v>
      </c>
      <c r="B7" s="14" t="str">
        <f t="shared" si="1"/>
        <v>Elektrik</v>
      </c>
      <c r="C7" s="15" t="s">
        <v>14</v>
      </c>
      <c r="D7" s="16" t="s">
        <v>15</v>
      </c>
      <c r="E7" s="17" t="str">
        <f>IFERROR(INDEX(#REF!,MATCH([1]!Table79101112[[#This Row],[Januari]],#REF!,0)),"kosong")</f>
        <v>kosong</v>
      </c>
      <c r="F7" s="17"/>
      <c r="G7" s="18" t="str">
        <f>IFERROR(INDEX(#REF!,MATCH([1]!Table79101112[[#This Row],[Januari]],#REF!,0)),"")</f>
        <v/>
      </c>
      <c r="H7" s="19" t="str">
        <f>IFERROR(INDEX(#REF!,MATCH([1]!Table79101112[[#This Row],[Januari]],#REF!,0)),"")</f>
        <v/>
      </c>
    </row>
    <row r="8" spans="1:9">
      <c r="A8" s="6" t="str">
        <f t="shared" si="0"/>
        <v>Bandung</v>
      </c>
      <c r="B8" s="7" t="str">
        <f t="shared" si="1"/>
        <v>Elektrik</v>
      </c>
      <c r="C8" s="8" t="s">
        <v>16</v>
      </c>
      <c r="D8" s="9" t="s">
        <v>17</v>
      </c>
      <c r="E8" s="10" t="str">
        <f>IFERROR(INDEX(#REF!,MATCH([1]!Table79101112[[#This Row],[Januari]],#REF!,0)),"kosong")</f>
        <v>kosong</v>
      </c>
      <c r="F8" s="10"/>
      <c r="G8" s="11" t="str">
        <f>IFERROR(INDEX(#REF!,MATCH([1]!Table79101112[[#This Row],[Januari]],#REF!,0)),"")</f>
        <v/>
      </c>
      <c r="H8" s="12" t="str">
        <f>IFERROR(INDEX(#REF!,MATCH([1]!Table79101112[[#This Row],[Januari]],#REF!,0)),"")</f>
        <v/>
      </c>
    </row>
    <row r="9" spans="1:9">
      <c r="A9" s="13" t="str">
        <f t="shared" si="0"/>
        <v>Bandung</v>
      </c>
      <c r="B9" s="14" t="str">
        <f t="shared" si="1"/>
        <v>Elektrik</v>
      </c>
      <c r="C9" s="15" t="s">
        <v>18</v>
      </c>
      <c r="D9" s="20" t="s">
        <v>19</v>
      </c>
      <c r="E9" s="17" t="str">
        <f>IFERROR(INDEX(#REF!,MATCH([1]!Table79101112[[#This Row],[Januari]],#REF!,0)),"kosong")</f>
        <v>kosong</v>
      </c>
      <c r="F9" s="17"/>
      <c r="G9" s="18" t="str">
        <f>IFERROR(INDEX(#REF!,MATCH([1]!Table79101112[[#This Row],[Januari]],#REF!,0)),"")</f>
        <v/>
      </c>
      <c r="H9" s="19" t="str">
        <f>IFERROR(INDEX(#REF!,MATCH([1]!Table79101112[[#This Row],[Januari]],#REF!,0)),"")</f>
        <v/>
      </c>
    </row>
    <row r="10" spans="1:9">
      <c r="A10" s="6" t="str">
        <f t="shared" si="0"/>
        <v>Bandung</v>
      </c>
      <c r="B10" s="7" t="str">
        <f t="shared" si="1"/>
        <v>Elektrik</v>
      </c>
      <c r="C10" s="8" t="s">
        <v>20</v>
      </c>
      <c r="D10" s="9" t="s">
        <v>21</v>
      </c>
      <c r="E10" s="10" t="str">
        <f>IFERROR(INDEX(#REF!,MATCH([1]!Table79101112[[#This Row],[Januari]],#REF!,0)),"kosong")</f>
        <v>kosong</v>
      </c>
      <c r="F10" s="10"/>
      <c r="G10" s="11" t="str">
        <f>IFERROR(INDEX(#REF!,MATCH([1]!Table79101112[[#This Row],[Januari]],#REF!,0)),"")</f>
        <v/>
      </c>
      <c r="H10" s="12" t="str">
        <f>IFERROR(INDEX(#REF!,MATCH([1]!Table79101112[[#This Row],[Januari]],#REF!,0)),"")</f>
        <v/>
      </c>
    </row>
    <row r="11" spans="1:9">
      <c r="A11" s="13" t="str">
        <f t="shared" si="0"/>
        <v>Bandung</v>
      </c>
      <c r="B11" s="14" t="str">
        <f>IF(LEFT(C11,2)="EL","Elektrik",IF(LEFT(C11,2)="PP","Pipa Pompa",IF(LEFT(C11,2)="IC","ICI",IF(LEFT(C11,2)="PI","Pipamas",""))))</f>
        <v>Elektrik</v>
      </c>
      <c r="C11" s="15" t="s">
        <v>22</v>
      </c>
      <c r="D11" s="16" t="s">
        <v>23</v>
      </c>
      <c r="E11" s="17" t="str">
        <f>IFERROR(INDEX(#REF!,MATCH([1]!Table79101112[[#This Row],[Januari]],#REF!,0)),"kosong")</f>
        <v>kosong</v>
      </c>
      <c r="F11" s="17">
        <v>46031</v>
      </c>
      <c r="G11" s="18" t="str">
        <f>IFERROR(INDEX(#REF!,MATCH([1]!Table79101112[[#This Row],[Januari]],#REF!,0)),"")</f>
        <v/>
      </c>
      <c r="H11" s="19" t="str">
        <f>IFERROR(INDEX(#REF!,MATCH([1]!Table79101112[[#This Row],[Januari]],#REF!,0)),"")</f>
        <v/>
      </c>
    </row>
    <row r="13" spans="1:9">
      <c r="A13" s="40" t="s">
        <v>49</v>
      </c>
      <c r="B13" s="40"/>
      <c r="C13" s="40"/>
      <c r="D13" s="40"/>
      <c r="E13" s="40"/>
      <c r="F13" s="40"/>
      <c r="G13" s="40"/>
      <c r="H13" s="40"/>
    </row>
    <row r="14" spans="1:9" ht="15.75" thickBot="1"/>
    <row r="15" spans="1:9">
      <c r="A15" s="1" t="s">
        <v>0</v>
      </c>
      <c r="B15" s="2" t="s">
        <v>1</v>
      </c>
      <c r="C15" s="2" t="s">
        <v>2</v>
      </c>
      <c r="D15" s="3" t="s">
        <v>3</v>
      </c>
      <c r="E15" s="4" t="s">
        <v>4</v>
      </c>
      <c r="F15" s="2" t="s">
        <v>5</v>
      </c>
      <c r="G15" s="2" t="s">
        <v>6</v>
      </c>
      <c r="H15" s="5" t="s">
        <v>7</v>
      </c>
    </row>
    <row r="16" spans="1:9">
      <c r="A16" s="6" t="s">
        <v>25</v>
      </c>
      <c r="B16" s="7" t="s">
        <v>26</v>
      </c>
      <c r="C16" s="8" t="s">
        <v>27</v>
      </c>
      <c r="D16" s="8" t="s">
        <v>28</v>
      </c>
      <c r="E16" s="10">
        <v>45139</v>
      </c>
      <c r="F16" s="10"/>
      <c r="G16" s="11" t="s">
        <v>29</v>
      </c>
      <c r="H16" s="12" t="s">
        <v>30</v>
      </c>
    </row>
    <row r="17" spans="1:9">
      <c r="A17" s="13" t="s">
        <v>25</v>
      </c>
      <c r="B17" s="14" t="s">
        <v>26</v>
      </c>
      <c r="C17" s="15" t="s">
        <v>31</v>
      </c>
      <c r="D17" s="15" t="s">
        <v>32</v>
      </c>
      <c r="E17" s="17">
        <v>44572</v>
      </c>
      <c r="F17" s="17"/>
      <c r="G17" s="18" t="s">
        <v>33</v>
      </c>
      <c r="H17" s="19">
        <v>1393356867</v>
      </c>
    </row>
    <row r="18" spans="1:9">
      <c r="A18" s="6" t="s">
        <v>25</v>
      </c>
      <c r="B18" s="7" t="s">
        <v>26</v>
      </c>
      <c r="C18" s="8" t="s">
        <v>34</v>
      </c>
      <c r="D18" s="8" t="s">
        <v>35</v>
      </c>
      <c r="E18" s="10">
        <v>44533</v>
      </c>
      <c r="F18" s="10"/>
      <c r="G18" s="11" t="s">
        <v>36</v>
      </c>
      <c r="H18" s="12" t="s">
        <v>37</v>
      </c>
      <c r="I18" t="s">
        <v>359</v>
      </c>
    </row>
    <row r="19" spans="1:9">
      <c r="A19" s="13" t="s">
        <v>25</v>
      </c>
      <c r="B19" s="14" t="s">
        <v>26</v>
      </c>
      <c r="C19" s="15" t="s">
        <v>38</v>
      </c>
      <c r="D19" s="15" t="s">
        <v>39</v>
      </c>
      <c r="E19" s="17">
        <v>44525</v>
      </c>
      <c r="F19" s="17"/>
      <c r="G19" s="18" t="s">
        <v>40</v>
      </c>
      <c r="H19" s="19" t="s">
        <v>41</v>
      </c>
    </row>
    <row r="20" spans="1:9">
      <c r="A20" s="6" t="s">
        <v>25</v>
      </c>
      <c r="B20" s="7" t="s">
        <v>26</v>
      </c>
      <c r="C20" s="8" t="s">
        <v>42</v>
      </c>
      <c r="D20" s="8" t="s">
        <v>43</v>
      </c>
      <c r="E20" s="10">
        <v>44732</v>
      </c>
      <c r="F20" s="10"/>
      <c r="G20" s="11" t="s">
        <v>44</v>
      </c>
      <c r="H20" s="12" t="s">
        <v>45</v>
      </c>
    </row>
    <row r="21" spans="1:9">
      <c r="A21" s="13" t="s">
        <v>25</v>
      </c>
      <c r="B21" s="14" t="s">
        <v>26</v>
      </c>
      <c r="C21" s="15" t="s">
        <v>46</v>
      </c>
      <c r="D21" s="15" t="s">
        <v>47</v>
      </c>
      <c r="E21" s="17">
        <v>44572</v>
      </c>
      <c r="F21" s="17"/>
      <c r="G21" s="18" t="s">
        <v>48</v>
      </c>
      <c r="H21" s="19">
        <v>1760203960</v>
      </c>
    </row>
    <row r="23" spans="1:9">
      <c r="A23" s="40" t="s">
        <v>83</v>
      </c>
      <c r="B23" s="40"/>
      <c r="C23" s="40"/>
      <c r="D23" s="40"/>
      <c r="E23" s="40"/>
      <c r="F23" s="40"/>
      <c r="G23" s="40"/>
      <c r="H23" s="40"/>
    </row>
    <row r="24" spans="1:9" ht="15.75" thickBot="1"/>
    <row r="25" spans="1:9">
      <c r="A25" s="1" t="s">
        <v>0</v>
      </c>
      <c r="B25" s="2" t="s">
        <v>1</v>
      </c>
      <c r="C25" s="2" t="s">
        <v>2</v>
      </c>
      <c r="D25" s="3" t="s">
        <v>3</v>
      </c>
      <c r="E25" s="4" t="s">
        <v>4</v>
      </c>
      <c r="F25" s="2" t="s">
        <v>5</v>
      </c>
      <c r="G25" s="2" t="s">
        <v>6</v>
      </c>
      <c r="H25" s="5" t="s">
        <v>7</v>
      </c>
    </row>
    <row r="26" spans="1:9">
      <c r="A26" s="6" t="s">
        <v>25</v>
      </c>
      <c r="B26" s="7" t="s">
        <v>50</v>
      </c>
      <c r="C26" s="8" t="s">
        <v>51</v>
      </c>
      <c r="D26" s="9" t="s">
        <v>52</v>
      </c>
      <c r="E26" s="10">
        <v>45334</v>
      </c>
      <c r="F26" s="10"/>
      <c r="G26" s="11" t="s">
        <v>53</v>
      </c>
      <c r="H26" s="12" t="s">
        <v>54</v>
      </c>
    </row>
    <row r="27" spans="1:9" ht="15.75">
      <c r="A27" s="13" t="s">
        <v>25</v>
      </c>
      <c r="B27" s="14" t="s">
        <v>50</v>
      </c>
      <c r="C27" s="21" t="s">
        <v>55</v>
      </c>
      <c r="D27" s="16" t="s">
        <v>56</v>
      </c>
      <c r="E27" s="17">
        <v>45978</v>
      </c>
      <c r="F27" s="17"/>
      <c r="G27" s="18" t="s">
        <v>57</v>
      </c>
      <c r="H27" s="19" t="s">
        <v>58</v>
      </c>
    </row>
    <row r="28" spans="1:9" ht="15.75">
      <c r="A28" s="6" t="s">
        <v>25</v>
      </c>
      <c r="B28" s="7" t="s">
        <v>50</v>
      </c>
      <c r="C28" s="22" t="s">
        <v>59</v>
      </c>
      <c r="D28" s="9" t="s">
        <v>60</v>
      </c>
      <c r="E28" s="10">
        <v>45999</v>
      </c>
      <c r="F28" s="10">
        <v>46031</v>
      </c>
      <c r="G28" s="11" t="s">
        <v>61</v>
      </c>
      <c r="H28" s="12" t="s">
        <v>62</v>
      </c>
    </row>
    <row r="29" spans="1:9" ht="15.75">
      <c r="A29" s="13" t="s">
        <v>25</v>
      </c>
      <c r="B29" s="14" t="s">
        <v>50</v>
      </c>
      <c r="C29" s="21" t="s">
        <v>63</v>
      </c>
      <c r="D29" s="16" t="s">
        <v>64</v>
      </c>
      <c r="E29" s="17">
        <v>45481</v>
      </c>
      <c r="F29" s="17"/>
      <c r="G29" s="18" t="s">
        <v>65</v>
      </c>
      <c r="H29" s="19" t="s">
        <v>66</v>
      </c>
      <c r="I29" t="s">
        <v>358</v>
      </c>
    </row>
    <row r="30" spans="1:9" ht="15.75">
      <c r="A30" s="6" t="s">
        <v>25</v>
      </c>
      <c r="B30" s="7" t="s">
        <v>50</v>
      </c>
      <c r="C30" s="22" t="s">
        <v>67</v>
      </c>
      <c r="D30" s="23" t="s">
        <v>68</v>
      </c>
      <c r="E30" s="10">
        <v>45894</v>
      </c>
      <c r="F30" s="10"/>
      <c r="G30" s="11" t="s">
        <v>69</v>
      </c>
      <c r="H30" s="12">
        <v>2830811802</v>
      </c>
    </row>
    <row r="31" spans="1:9" ht="15.75">
      <c r="A31" s="13" t="s">
        <v>25</v>
      </c>
      <c r="B31" s="14" t="s">
        <v>50</v>
      </c>
      <c r="C31" s="21" t="s">
        <v>70</v>
      </c>
      <c r="D31" s="16" t="s">
        <v>71</v>
      </c>
      <c r="E31" s="17">
        <v>45713</v>
      </c>
      <c r="F31" s="17"/>
      <c r="G31" s="18" t="s">
        <v>72</v>
      </c>
      <c r="H31" s="19" t="s">
        <v>73</v>
      </c>
    </row>
    <row r="32" spans="1:9" ht="15.75">
      <c r="A32" s="6" t="s">
        <v>25</v>
      </c>
      <c r="B32" s="7" t="s">
        <v>50</v>
      </c>
      <c r="C32" s="22" t="s">
        <v>74</v>
      </c>
      <c r="D32" s="9" t="s">
        <v>75</v>
      </c>
      <c r="E32" s="10">
        <v>45979</v>
      </c>
      <c r="F32" s="10"/>
      <c r="G32" s="11" t="s">
        <v>76</v>
      </c>
      <c r="H32" s="12" t="s">
        <v>77</v>
      </c>
    </row>
    <row r="33" spans="1:9">
      <c r="A33" s="13" t="s">
        <v>25</v>
      </c>
      <c r="B33" s="14" t="s">
        <v>50</v>
      </c>
      <c r="C33" s="15" t="s">
        <v>78</v>
      </c>
      <c r="D33" s="15" t="s">
        <v>79</v>
      </c>
      <c r="E33" s="17">
        <v>45838</v>
      </c>
      <c r="F33" s="17"/>
      <c r="G33" s="18" t="s">
        <v>80</v>
      </c>
      <c r="H33" s="19">
        <v>8106058160</v>
      </c>
    </row>
    <row r="34" spans="1:9">
      <c r="A34" s="6" t="s">
        <v>25</v>
      </c>
      <c r="B34" s="7" t="s">
        <v>50</v>
      </c>
      <c r="C34" s="8" t="s">
        <v>81</v>
      </c>
      <c r="D34" s="9" t="s">
        <v>82</v>
      </c>
      <c r="E34" s="10">
        <v>0</v>
      </c>
      <c r="F34" s="10"/>
      <c r="G34" s="11">
        <v>0</v>
      </c>
      <c r="H34" s="12">
        <v>0</v>
      </c>
    </row>
    <row r="36" spans="1:9">
      <c r="A36" s="40" t="s">
        <v>130</v>
      </c>
      <c r="B36" s="40"/>
      <c r="C36" s="40"/>
      <c r="D36" s="40"/>
      <c r="E36" s="40"/>
      <c r="F36" s="40"/>
      <c r="G36" s="40"/>
      <c r="H36" s="40"/>
    </row>
    <row r="37" spans="1:9" ht="15.75" thickBot="1"/>
    <row r="38" spans="1:9">
      <c r="A38" s="1" t="s">
        <v>0</v>
      </c>
      <c r="B38" s="2" t="s">
        <v>1</v>
      </c>
      <c r="C38" s="2" t="s">
        <v>2</v>
      </c>
      <c r="D38" s="3" t="s">
        <v>3</v>
      </c>
      <c r="E38" s="4" t="s">
        <v>4</v>
      </c>
      <c r="F38" s="2" t="s">
        <v>5</v>
      </c>
      <c r="G38" s="2" t="s">
        <v>6</v>
      </c>
      <c r="H38" s="5" t="s">
        <v>7</v>
      </c>
    </row>
    <row r="39" spans="1:9" ht="15.75">
      <c r="A39" s="6" t="s">
        <v>25</v>
      </c>
      <c r="B39" s="7" t="s">
        <v>84</v>
      </c>
      <c r="C39" s="22" t="s">
        <v>85</v>
      </c>
      <c r="D39" s="24" t="s">
        <v>86</v>
      </c>
      <c r="E39" s="10">
        <v>45896</v>
      </c>
      <c r="F39" s="10"/>
      <c r="G39" s="11" t="s">
        <v>87</v>
      </c>
      <c r="H39" s="12" t="s">
        <v>88</v>
      </c>
      <c r="I39" t="s">
        <v>360</v>
      </c>
    </row>
    <row r="40" spans="1:9" ht="15.75">
      <c r="A40" s="13" t="s">
        <v>25</v>
      </c>
      <c r="B40" s="14" t="s">
        <v>84</v>
      </c>
      <c r="C40" s="21" t="s">
        <v>89</v>
      </c>
      <c r="D40" s="25" t="s">
        <v>90</v>
      </c>
      <c r="E40" s="17">
        <v>45904</v>
      </c>
      <c r="F40" s="17"/>
      <c r="G40" s="18" t="s">
        <v>91</v>
      </c>
      <c r="H40" s="19" t="s">
        <v>92</v>
      </c>
    </row>
    <row r="41" spans="1:9" ht="15.75">
      <c r="A41" s="6" t="s">
        <v>25</v>
      </c>
      <c r="B41" s="7" t="s">
        <v>84</v>
      </c>
      <c r="C41" s="22" t="s">
        <v>93</v>
      </c>
      <c r="D41" s="26" t="s">
        <v>82</v>
      </c>
      <c r="E41" s="10">
        <v>0</v>
      </c>
      <c r="F41" s="10"/>
      <c r="G41" s="11">
        <v>0</v>
      </c>
      <c r="H41" s="12">
        <v>0</v>
      </c>
    </row>
    <row r="42" spans="1:9" ht="15.75">
      <c r="A42" s="13" t="s">
        <v>25</v>
      </c>
      <c r="B42" s="14" t="s">
        <v>84</v>
      </c>
      <c r="C42" s="21" t="s">
        <v>94</v>
      </c>
      <c r="D42" s="15" t="s">
        <v>95</v>
      </c>
      <c r="E42" s="17">
        <v>45727</v>
      </c>
      <c r="F42" s="17"/>
      <c r="G42" s="18" t="s">
        <v>96</v>
      </c>
      <c r="H42" s="19" t="s">
        <v>97</v>
      </c>
    </row>
    <row r="43" spans="1:9" ht="15.75">
      <c r="A43" s="6" t="s">
        <v>25</v>
      </c>
      <c r="B43" s="7" t="s">
        <v>84</v>
      </c>
      <c r="C43" s="22" t="s">
        <v>98</v>
      </c>
      <c r="D43" s="9" t="s">
        <v>82</v>
      </c>
      <c r="E43" s="10">
        <v>0</v>
      </c>
      <c r="F43" s="10"/>
      <c r="G43" s="11">
        <v>0</v>
      </c>
      <c r="H43" s="12">
        <v>0</v>
      </c>
    </row>
    <row r="44" spans="1:9" ht="15.75">
      <c r="A44" s="13" t="s">
        <v>25</v>
      </c>
      <c r="B44" s="14" t="s">
        <v>84</v>
      </c>
      <c r="C44" s="21" t="s">
        <v>99</v>
      </c>
      <c r="D44" s="8" t="s">
        <v>100</v>
      </c>
      <c r="E44" s="17">
        <v>45727</v>
      </c>
      <c r="F44" s="17"/>
      <c r="G44" s="18" t="s">
        <v>101</v>
      </c>
      <c r="H44" s="19" t="s">
        <v>102</v>
      </c>
    </row>
    <row r="45" spans="1:9">
      <c r="A45" s="6" t="s">
        <v>25</v>
      </c>
      <c r="B45" s="7" t="s">
        <v>84</v>
      </c>
      <c r="C45" s="8" t="s">
        <v>103</v>
      </c>
      <c r="D45" s="24" t="s">
        <v>104</v>
      </c>
      <c r="E45" s="10">
        <v>44858</v>
      </c>
      <c r="F45" s="10"/>
      <c r="G45" s="11" t="s">
        <v>105</v>
      </c>
      <c r="H45" s="12" t="s">
        <v>106</v>
      </c>
    </row>
    <row r="46" spans="1:9">
      <c r="A46" s="13" t="s">
        <v>25</v>
      </c>
      <c r="B46" s="14" t="s">
        <v>84</v>
      </c>
      <c r="C46" s="15" t="s">
        <v>107</v>
      </c>
      <c r="D46" s="26" t="s">
        <v>108</v>
      </c>
      <c r="E46" s="17">
        <v>45792</v>
      </c>
      <c r="F46" s="17"/>
      <c r="G46" s="18" t="s">
        <v>109</v>
      </c>
      <c r="H46" s="19">
        <v>2831290783</v>
      </c>
    </row>
    <row r="47" spans="1:9">
      <c r="A47" s="6" t="s">
        <v>25</v>
      </c>
      <c r="B47" s="7" t="s">
        <v>84</v>
      </c>
      <c r="C47" s="8" t="s">
        <v>110</v>
      </c>
      <c r="D47" s="26" t="s">
        <v>111</v>
      </c>
      <c r="E47" s="10">
        <v>45887</v>
      </c>
      <c r="F47" s="10"/>
      <c r="G47" s="11" t="s">
        <v>112</v>
      </c>
      <c r="H47" s="12" t="s">
        <v>113</v>
      </c>
    </row>
    <row r="48" spans="1:9">
      <c r="A48" s="13" t="s">
        <v>25</v>
      </c>
      <c r="B48" s="14" t="s">
        <v>84</v>
      </c>
      <c r="C48" s="15" t="s">
        <v>114</v>
      </c>
      <c r="D48" s="27" t="s">
        <v>115</v>
      </c>
      <c r="E48" s="17">
        <v>45792</v>
      </c>
      <c r="F48" s="17"/>
      <c r="G48" s="18" t="s">
        <v>116</v>
      </c>
      <c r="H48" s="19" t="s">
        <v>117</v>
      </c>
    </row>
    <row r="49" spans="1:8">
      <c r="A49" s="6" t="s">
        <v>25</v>
      </c>
      <c r="B49" s="7" t="s">
        <v>84</v>
      </c>
      <c r="C49" s="8" t="s">
        <v>118</v>
      </c>
      <c r="D49" s="26" t="s">
        <v>119</v>
      </c>
      <c r="E49" s="28">
        <v>45996</v>
      </c>
      <c r="F49" s="10"/>
      <c r="G49" s="29" t="s">
        <v>120</v>
      </c>
      <c r="H49" s="30" t="s">
        <v>121</v>
      </c>
    </row>
    <row r="50" spans="1:8">
      <c r="A50" s="13" t="s">
        <v>25</v>
      </c>
      <c r="B50" s="14" t="s">
        <v>84</v>
      </c>
      <c r="C50" s="15" t="s">
        <v>122</v>
      </c>
      <c r="D50" s="31" t="s">
        <v>123</v>
      </c>
      <c r="E50" s="32">
        <v>45169</v>
      </c>
      <c r="F50" s="17"/>
      <c r="G50" s="33" t="s">
        <v>124</v>
      </c>
      <c r="H50" s="34" t="s">
        <v>125</v>
      </c>
    </row>
    <row r="51" spans="1:8">
      <c r="A51" s="6" t="s">
        <v>25</v>
      </c>
      <c r="B51" s="7" t="s">
        <v>84</v>
      </c>
      <c r="C51" s="8" t="s">
        <v>126</v>
      </c>
      <c r="D51" s="8" t="s">
        <v>127</v>
      </c>
      <c r="E51" s="10">
        <v>46000</v>
      </c>
      <c r="F51" s="10"/>
      <c r="G51" s="11" t="s">
        <v>128</v>
      </c>
      <c r="H51" s="12" t="s">
        <v>129</v>
      </c>
    </row>
  </sheetData>
  <mergeCells count="4">
    <mergeCell ref="A1:H1"/>
    <mergeCell ref="A13:H13"/>
    <mergeCell ref="A23:H23"/>
    <mergeCell ref="A36:H36"/>
  </mergeCells>
  <conditionalFormatting sqref="C4 A4:B11">
    <cfRule type="containsText" dxfId="66" priority="22" operator="containsText" text="vacant">
      <formula>NOT(ISERROR(SEARCH("vacant",A4)))</formula>
    </cfRule>
  </conditionalFormatting>
  <conditionalFormatting sqref="C5:C11">
    <cfRule type="containsText" dxfId="65" priority="23" operator="containsText" text="vacant">
      <formula>NOT(ISERROR(SEARCH("vacant",C5)))</formula>
    </cfRule>
  </conditionalFormatting>
  <conditionalFormatting sqref="A16:C21">
    <cfRule type="containsText" dxfId="64" priority="21" operator="containsText" text="vacant">
      <formula>NOT(ISERROR(SEARCH("vacant",A16)))</formula>
    </cfRule>
  </conditionalFormatting>
  <conditionalFormatting sqref="A26:B34">
    <cfRule type="containsText" dxfId="63" priority="19" operator="containsText" text="vacant">
      <formula>NOT(ISERROR(SEARCH("vacant",A26)))</formula>
    </cfRule>
  </conditionalFormatting>
  <conditionalFormatting sqref="C26:C34">
    <cfRule type="containsText" dxfId="62" priority="20" operator="containsText" text="vacant">
      <formula>NOT(ISERROR(SEARCH("vacant",C26)))</formula>
    </cfRule>
  </conditionalFormatting>
  <conditionalFormatting sqref="D33">
    <cfRule type="containsText" dxfId="61" priority="18" operator="containsText" text="vac">
      <formula>NOT(ISERROR(SEARCH("vac",D33)))</formula>
    </cfRule>
  </conditionalFormatting>
  <conditionalFormatting sqref="A39:B51">
    <cfRule type="containsText" dxfId="60" priority="15" operator="containsText" text="vacant">
      <formula>NOT(ISERROR(SEARCH("vacant",A39)))</formula>
    </cfRule>
  </conditionalFormatting>
  <conditionalFormatting sqref="C39:C42">
    <cfRule type="containsText" dxfId="59" priority="17" operator="containsText" text="vacant">
      <formula>NOT(ISERROR(SEARCH("vacant",C39)))</formula>
    </cfRule>
  </conditionalFormatting>
  <conditionalFormatting sqref="C43:C51">
    <cfRule type="containsText" dxfId="58" priority="16" operator="containsText" text="vacant">
      <formula>NOT(ISERROR(SEARCH("vacant",C43)))</formula>
    </cfRule>
  </conditionalFormatting>
  <conditionalFormatting sqref="D43">
    <cfRule type="containsText" dxfId="57" priority="14" operator="containsText" text="vacant">
      <formula>NOT(ISERROR(SEARCH("vacant",D43)))</formula>
    </cfRule>
  </conditionalFormatting>
  <conditionalFormatting sqref="D43">
    <cfRule type="containsText" dxfId="56" priority="13" operator="containsText" text="vac">
      <formula>NOT(ISERROR(SEARCH("vac",D43)))</formula>
    </cfRule>
  </conditionalFormatting>
  <conditionalFormatting sqref="D51">
    <cfRule type="containsText" dxfId="55" priority="12" operator="containsText" text="vac">
      <formula>NOT(ISERROR(SEARCH("vac",D51)))</formula>
    </cfRule>
  </conditionalFormatting>
  <conditionalFormatting sqref="D41">
    <cfRule type="containsText" dxfId="54" priority="11" operator="containsText" text="vacant">
      <formula>NOT(ISERROR(SEARCH("vacant",D41)))</formula>
    </cfRule>
  </conditionalFormatting>
  <conditionalFormatting sqref="D41">
    <cfRule type="containsText" dxfId="53" priority="10" operator="containsText" text="vac">
      <formula>NOT(ISERROR(SEARCH("vac",D41)))</formula>
    </cfRule>
  </conditionalFormatting>
  <conditionalFormatting sqref="D42">
    <cfRule type="containsText" dxfId="52" priority="9" operator="containsText" text="vac">
      <formula>NOT(ISERROR(SEARCH("vac",D42)))</formula>
    </cfRule>
  </conditionalFormatting>
  <conditionalFormatting sqref="D44">
    <cfRule type="containsText" dxfId="51" priority="8" operator="containsText" text="vac">
      <formula>NOT(ISERROR(SEARCH("vac",D44)))</formula>
    </cfRule>
  </conditionalFormatting>
  <conditionalFormatting sqref="D46">
    <cfRule type="containsText" dxfId="50" priority="7" operator="containsText" text="vacant">
      <formula>NOT(ISERROR(SEARCH("vacant",D46)))</formula>
    </cfRule>
  </conditionalFormatting>
  <conditionalFormatting sqref="D46">
    <cfRule type="containsText" dxfId="49" priority="6" operator="containsText" text="vac">
      <formula>NOT(ISERROR(SEARCH("vac",D46)))</formula>
    </cfRule>
  </conditionalFormatting>
  <conditionalFormatting sqref="D48:D49">
    <cfRule type="containsText" dxfId="48" priority="5" operator="containsText" text="vacant">
      <formula>NOT(ISERROR(SEARCH("vacant",D48)))</formula>
    </cfRule>
  </conditionalFormatting>
  <conditionalFormatting sqref="D48:D49">
    <cfRule type="containsText" dxfId="47" priority="4" operator="containsText" text="vac">
      <formula>NOT(ISERROR(SEARCH("vac",D48)))</formula>
    </cfRule>
  </conditionalFormatting>
  <conditionalFormatting sqref="D47">
    <cfRule type="containsText" dxfId="46" priority="3" operator="containsText" text="vacant">
      <formula>NOT(ISERROR(SEARCH("vacant",D47)))</formula>
    </cfRule>
  </conditionalFormatting>
  <conditionalFormatting sqref="D47">
    <cfRule type="containsText" dxfId="45" priority="2" operator="containsText" text="vac">
      <formula>NOT(ISERROR(SEARCH("vac",D47)))</formula>
    </cfRule>
  </conditionalFormatting>
  <conditionalFormatting sqref="D50">
    <cfRule type="containsText" dxfId="44" priority="1" operator="containsText" text="vac">
      <formula>NOT(ISERROR(SEARCH("vac",D50)))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92C2EB-9B6A-4ABC-8215-BC4DB044D725}">
  <dimension ref="A1:H35"/>
  <sheetViews>
    <sheetView workbookViewId="0">
      <selection activeCell="E33" sqref="E33"/>
    </sheetView>
  </sheetViews>
  <sheetFormatPr defaultRowHeight="15"/>
  <cols>
    <col min="4" max="4" width="20" customWidth="1"/>
    <col min="5" max="5" width="13" customWidth="1"/>
    <col min="8" max="8" width="12.28515625" customWidth="1"/>
  </cols>
  <sheetData>
    <row r="1" spans="1:8">
      <c r="A1" s="40" t="s">
        <v>146</v>
      </c>
      <c r="B1" s="40"/>
      <c r="C1" s="40"/>
      <c r="D1" s="40"/>
      <c r="E1" s="40"/>
      <c r="F1" s="40"/>
      <c r="G1" s="40"/>
      <c r="H1" s="40"/>
    </row>
    <row r="2" spans="1:8" ht="15.75" thickBot="1"/>
    <row r="3" spans="1:8">
      <c r="A3" s="1" t="s">
        <v>0</v>
      </c>
      <c r="B3" s="2" t="s">
        <v>1</v>
      </c>
      <c r="C3" s="2" t="s">
        <v>2</v>
      </c>
      <c r="D3" s="3" t="s">
        <v>3</v>
      </c>
      <c r="E3" s="4" t="s">
        <v>4</v>
      </c>
      <c r="F3" s="2" t="s">
        <v>5</v>
      </c>
      <c r="G3" s="2" t="s">
        <v>6</v>
      </c>
      <c r="H3" s="5" t="s">
        <v>7</v>
      </c>
    </row>
    <row r="4" spans="1:8" ht="15.75">
      <c r="A4" s="6" t="s">
        <v>131</v>
      </c>
      <c r="B4" s="7" t="s">
        <v>132</v>
      </c>
      <c r="C4" s="22" t="s">
        <v>133</v>
      </c>
      <c r="D4" s="11" t="s">
        <v>134</v>
      </c>
      <c r="E4" s="10">
        <v>45414</v>
      </c>
      <c r="F4" s="10"/>
      <c r="G4" s="11" t="s">
        <v>135</v>
      </c>
      <c r="H4" s="12" t="s">
        <v>136</v>
      </c>
    </row>
    <row r="5" spans="1:8" ht="15.75">
      <c r="A5" s="13" t="s">
        <v>131</v>
      </c>
      <c r="B5" s="14" t="s">
        <v>132</v>
      </c>
      <c r="C5" s="21" t="s">
        <v>137</v>
      </c>
      <c r="D5" s="18" t="s">
        <v>138</v>
      </c>
      <c r="E5" s="17">
        <v>44903</v>
      </c>
      <c r="F5" s="17"/>
      <c r="G5" s="18" t="s">
        <v>139</v>
      </c>
      <c r="H5" s="19">
        <v>7402130230</v>
      </c>
    </row>
    <row r="6" spans="1:8" ht="15.75">
      <c r="A6" s="6" t="s">
        <v>131</v>
      </c>
      <c r="B6" s="7" t="s">
        <v>132</v>
      </c>
      <c r="C6" s="22" t="s">
        <v>140</v>
      </c>
      <c r="D6" s="11" t="s">
        <v>141</v>
      </c>
      <c r="E6" s="10">
        <v>44531</v>
      </c>
      <c r="F6" s="10"/>
      <c r="G6" s="11" t="s">
        <v>142</v>
      </c>
      <c r="H6" s="12">
        <v>5015250876</v>
      </c>
    </row>
    <row r="7" spans="1:8" ht="15.75">
      <c r="A7" s="13" t="s">
        <v>131</v>
      </c>
      <c r="B7" s="14" t="s">
        <v>132</v>
      </c>
      <c r="C7" s="21" t="s">
        <v>143</v>
      </c>
      <c r="D7" s="35" t="s">
        <v>144</v>
      </c>
      <c r="E7" s="17">
        <v>44091</v>
      </c>
      <c r="F7" s="17"/>
      <c r="G7" s="18" t="s">
        <v>145</v>
      </c>
      <c r="H7" s="19">
        <v>5735335861</v>
      </c>
    </row>
    <row r="9" spans="1:8">
      <c r="A9" s="40" t="s">
        <v>26</v>
      </c>
      <c r="B9" s="40"/>
      <c r="C9" s="40"/>
      <c r="D9" s="40"/>
      <c r="E9" s="40"/>
      <c r="F9" s="40"/>
      <c r="G9" s="40"/>
      <c r="H9" s="40"/>
    </row>
    <row r="10" spans="1:8" ht="15.75" thickBot="1"/>
    <row r="11" spans="1:8">
      <c r="A11" s="1" t="s">
        <v>0</v>
      </c>
      <c r="B11" s="2" t="s">
        <v>1</v>
      </c>
      <c r="C11" s="2" t="s">
        <v>2</v>
      </c>
      <c r="D11" s="3" t="s">
        <v>3</v>
      </c>
      <c r="E11" s="4" t="s">
        <v>4</v>
      </c>
      <c r="F11" s="2" t="s">
        <v>5</v>
      </c>
      <c r="G11" s="2" t="s">
        <v>6</v>
      </c>
      <c r="H11" s="5" t="s">
        <v>7</v>
      </c>
    </row>
    <row r="12" spans="1:8" ht="15.75">
      <c r="A12" s="6" t="s">
        <v>131</v>
      </c>
      <c r="B12" s="7" t="s">
        <v>26</v>
      </c>
      <c r="C12" s="22" t="s">
        <v>147</v>
      </c>
      <c r="D12" s="11" t="s">
        <v>148</v>
      </c>
      <c r="E12" s="10">
        <v>45817</v>
      </c>
      <c r="F12" s="10"/>
      <c r="G12" s="11" t="s">
        <v>149</v>
      </c>
      <c r="H12" s="12" t="s">
        <v>150</v>
      </c>
    </row>
    <row r="13" spans="1:8" ht="15.75">
      <c r="A13" s="13" t="s">
        <v>131</v>
      </c>
      <c r="B13" s="14" t="s">
        <v>26</v>
      </c>
      <c r="C13" s="21" t="s">
        <v>151</v>
      </c>
      <c r="D13" s="18" t="s">
        <v>152</v>
      </c>
      <c r="E13" s="17">
        <v>45426</v>
      </c>
      <c r="F13" s="17"/>
      <c r="G13" s="18" t="s">
        <v>153</v>
      </c>
      <c r="H13" s="19" t="s">
        <v>154</v>
      </c>
    </row>
    <row r="14" spans="1:8" ht="15.75">
      <c r="A14" s="6" t="s">
        <v>131</v>
      </c>
      <c r="B14" s="7" t="s">
        <v>26</v>
      </c>
      <c r="C14" s="22" t="s">
        <v>155</v>
      </c>
      <c r="D14" s="11" t="s">
        <v>156</v>
      </c>
      <c r="E14" s="10">
        <v>45616</v>
      </c>
      <c r="F14" s="10"/>
      <c r="G14" s="11" t="s">
        <v>157</v>
      </c>
      <c r="H14" s="12" t="s">
        <v>158</v>
      </c>
    </row>
    <row r="15" spans="1:8" ht="15.75">
      <c r="A15" s="13" t="s">
        <v>131</v>
      </c>
      <c r="B15" s="14" t="s">
        <v>26</v>
      </c>
      <c r="C15" s="21" t="s">
        <v>159</v>
      </c>
      <c r="D15" s="18" t="s">
        <v>160</v>
      </c>
      <c r="E15" s="17">
        <v>44341</v>
      </c>
      <c r="F15" s="17"/>
      <c r="G15" s="18" t="s">
        <v>161</v>
      </c>
      <c r="H15" s="19">
        <v>8720710197</v>
      </c>
    </row>
    <row r="16" spans="1:8" ht="15.75">
      <c r="A16" s="6" t="s">
        <v>131</v>
      </c>
      <c r="B16" s="7" t="s">
        <v>26</v>
      </c>
      <c r="C16" s="22" t="s">
        <v>162</v>
      </c>
      <c r="D16" s="36" t="s">
        <v>163</v>
      </c>
      <c r="E16" s="10">
        <v>43731</v>
      </c>
      <c r="F16" s="10"/>
      <c r="G16" s="11" t="s">
        <v>164</v>
      </c>
      <c r="H16" s="12">
        <v>3370017751</v>
      </c>
    </row>
    <row r="17" spans="1:8" ht="15.75">
      <c r="A17" s="13" t="s">
        <v>131</v>
      </c>
      <c r="B17" s="14" t="s">
        <v>26</v>
      </c>
      <c r="C17" s="21" t="s">
        <v>165</v>
      </c>
      <c r="D17" s="18" t="s">
        <v>166</v>
      </c>
      <c r="E17" s="17">
        <v>45530</v>
      </c>
      <c r="F17" s="37">
        <v>46027</v>
      </c>
      <c r="G17" s="18" t="s">
        <v>167</v>
      </c>
      <c r="H17" s="19" t="s">
        <v>168</v>
      </c>
    </row>
    <row r="19" spans="1:8">
      <c r="A19" s="40" t="s">
        <v>189</v>
      </c>
      <c r="B19" s="40"/>
      <c r="C19" s="40"/>
      <c r="D19" s="40"/>
      <c r="E19" s="40"/>
      <c r="F19" s="40"/>
      <c r="G19" s="40"/>
      <c r="H19" s="40"/>
    </row>
    <row r="20" spans="1:8" ht="15.75" thickBot="1"/>
    <row r="21" spans="1:8">
      <c r="A21" s="1" t="s">
        <v>0</v>
      </c>
      <c r="B21" s="2" t="s">
        <v>1</v>
      </c>
      <c r="C21" s="2" t="s">
        <v>2</v>
      </c>
      <c r="D21" s="3" t="s">
        <v>3</v>
      </c>
      <c r="E21" s="4" t="s">
        <v>4</v>
      </c>
      <c r="F21" s="2" t="s">
        <v>5</v>
      </c>
      <c r="G21" s="2" t="s">
        <v>6</v>
      </c>
      <c r="H21" s="5" t="s">
        <v>7</v>
      </c>
    </row>
    <row r="22" spans="1:8">
      <c r="A22" s="6" t="s">
        <v>131</v>
      </c>
      <c r="B22" s="7" t="s">
        <v>50</v>
      </c>
      <c r="C22" s="8" t="s">
        <v>169</v>
      </c>
      <c r="D22" s="38" t="s">
        <v>170</v>
      </c>
      <c r="E22" s="10">
        <v>45894</v>
      </c>
      <c r="F22" s="10"/>
      <c r="G22" s="11" t="s">
        <v>171</v>
      </c>
      <c r="H22" s="12" t="s">
        <v>172</v>
      </c>
    </row>
    <row r="23" spans="1:8">
      <c r="A23" s="13" t="s">
        <v>131</v>
      </c>
      <c r="B23" s="14" t="s">
        <v>50</v>
      </c>
      <c r="C23" s="15" t="s">
        <v>173</v>
      </c>
      <c r="D23" s="18" t="s">
        <v>174</v>
      </c>
      <c r="E23" s="17">
        <v>45607</v>
      </c>
      <c r="F23" s="17"/>
      <c r="G23" s="18" t="s">
        <v>175</v>
      </c>
      <c r="H23" s="19" t="s">
        <v>176</v>
      </c>
    </row>
    <row r="24" spans="1:8">
      <c r="A24" s="6" t="s">
        <v>131</v>
      </c>
      <c r="B24" s="7" t="s">
        <v>50</v>
      </c>
      <c r="C24" s="8" t="s">
        <v>177</v>
      </c>
      <c r="D24" s="11" t="s">
        <v>178</v>
      </c>
      <c r="E24" s="10">
        <v>44979</v>
      </c>
      <c r="F24" s="10"/>
      <c r="G24" s="11" t="s">
        <v>179</v>
      </c>
      <c r="H24" s="12" t="s">
        <v>180</v>
      </c>
    </row>
    <row r="25" spans="1:8">
      <c r="A25" s="13" t="s">
        <v>131</v>
      </c>
      <c r="B25" s="14" t="s">
        <v>50</v>
      </c>
      <c r="C25" s="15" t="s">
        <v>181</v>
      </c>
      <c r="D25" s="18" t="s">
        <v>182</v>
      </c>
      <c r="E25" s="17">
        <v>44739</v>
      </c>
      <c r="F25" s="17"/>
      <c r="G25" s="18" t="s">
        <v>183</v>
      </c>
      <c r="H25" s="19" t="s">
        <v>184</v>
      </c>
    </row>
    <row r="26" spans="1:8">
      <c r="A26" s="6" t="s">
        <v>131</v>
      </c>
      <c r="B26" s="7" t="s">
        <v>50</v>
      </c>
      <c r="C26" s="8" t="s">
        <v>185</v>
      </c>
      <c r="D26" s="11" t="s">
        <v>186</v>
      </c>
      <c r="E26" s="10">
        <v>44902</v>
      </c>
      <c r="F26" s="10"/>
      <c r="G26" s="11" t="s">
        <v>187</v>
      </c>
      <c r="H26" s="12" t="s">
        <v>188</v>
      </c>
    </row>
    <row r="28" spans="1:8">
      <c r="A28" s="40" t="s">
        <v>206</v>
      </c>
      <c r="B28" s="40"/>
      <c r="C28" s="40"/>
      <c r="D28" s="40"/>
      <c r="E28" s="40"/>
      <c r="F28" s="40"/>
      <c r="G28" s="40"/>
      <c r="H28" s="40"/>
    </row>
    <row r="29" spans="1:8" ht="15.75" thickBot="1"/>
    <row r="30" spans="1:8">
      <c r="A30" s="1" t="s">
        <v>0</v>
      </c>
      <c r="B30" s="2" t="s">
        <v>1</v>
      </c>
      <c r="C30" s="2" t="s">
        <v>2</v>
      </c>
      <c r="D30" s="3" t="s">
        <v>3</v>
      </c>
      <c r="E30" s="4" t="s">
        <v>4</v>
      </c>
      <c r="F30" s="2" t="s">
        <v>5</v>
      </c>
      <c r="G30" s="2" t="s">
        <v>6</v>
      </c>
      <c r="H30" s="5" t="s">
        <v>7</v>
      </c>
    </row>
    <row r="31" spans="1:8">
      <c r="A31" s="6" t="s">
        <v>131</v>
      </c>
      <c r="B31" s="7" t="s">
        <v>84</v>
      </c>
      <c r="C31" s="8" t="s">
        <v>190</v>
      </c>
      <c r="D31" s="11" t="s">
        <v>191</v>
      </c>
      <c r="E31" s="10">
        <v>44496</v>
      </c>
      <c r="F31" s="10"/>
      <c r="G31" s="11" t="s">
        <v>192</v>
      </c>
      <c r="H31" s="12">
        <v>8691144780</v>
      </c>
    </row>
    <row r="32" spans="1:8">
      <c r="A32" s="13" t="s">
        <v>131</v>
      </c>
      <c r="B32" s="14" t="s">
        <v>84</v>
      </c>
      <c r="C32" s="15" t="s">
        <v>193</v>
      </c>
      <c r="D32" s="27" t="s">
        <v>194</v>
      </c>
      <c r="E32" s="17" t="s">
        <v>195</v>
      </c>
      <c r="F32" s="17"/>
      <c r="G32" s="18" t="s">
        <v>196</v>
      </c>
      <c r="H32" s="19" t="s">
        <v>196</v>
      </c>
    </row>
    <row r="33" spans="1:8">
      <c r="A33" s="6" t="s">
        <v>131</v>
      </c>
      <c r="B33" s="7" t="s">
        <v>84</v>
      </c>
      <c r="C33" s="8" t="s">
        <v>197</v>
      </c>
      <c r="D33" s="11" t="s">
        <v>198</v>
      </c>
      <c r="E33" s="10">
        <v>44903</v>
      </c>
      <c r="F33" s="10"/>
      <c r="G33" s="11" t="s">
        <v>199</v>
      </c>
      <c r="H33" s="12" t="s">
        <v>200</v>
      </c>
    </row>
    <row r="34" spans="1:8">
      <c r="A34" s="13" t="s">
        <v>131</v>
      </c>
      <c r="B34" s="14" t="s">
        <v>84</v>
      </c>
      <c r="C34" s="15" t="s">
        <v>201</v>
      </c>
      <c r="D34" s="18" t="s">
        <v>202</v>
      </c>
      <c r="E34" s="17">
        <v>45944</v>
      </c>
      <c r="F34" s="17"/>
      <c r="G34" s="18" t="s">
        <v>203</v>
      </c>
      <c r="H34" s="19" t="s">
        <v>204</v>
      </c>
    </row>
    <row r="35" spans="1:8">
      <c r="A35" s="6" t="s">
        <v>131</v>
      </c>
      <c r="B35" s="7" t="s">
        <v>84</v>
      </c>
      <c r="C35" s="8" t="s">
        <v>205</v>
      </c>
      <c r="D35" s="11" t="s">
        <v>82</v>
      </c>
      <c r="E35" s="10">
        <v>0</v>
      </c>
      <c r="F35" s="10"/>
      <c r="G35" s="11">
        <v>0</v>
      </c>
      <c r="H35" s="12">
        <v>0</v>
      </c>
    </row>
  </sheetData>
  <mergeCells count="4">
    <mergeCell ref="A1:H1"/>
    <mergeCell ref="A9:H9"/>
    <mergeCell ref="A19:H19"/>
    <mergeCell ref="A28:H28"/>
  </mergeCells>
  <conditionalFormatting sqref="C6:C7 A4:B7">
    <cfRule type="containsText" dxfId="43" priority="13" operator="containsText" text="vacant">
      <formula>NOT(ISERROR(SEARCH("vacant",A4)))</formula>
    </cfRule>
  </conditionalFormatting>
  <conditionalFormatting sqref="D7">
    <cfRule type="containsText" dxfId="42" priority="12" operator="containsText" text="vacant">
      <formula>NOT(ISERROR(SEARCH("vacant",D7)))</formula>
    </cfRule>
  </conditionalFormatting>
  <conditionalFormatting sqref="D7">
    <cfRule type="containsText" dxfId="41" priority="11" operator="containsText" text="vac">
      <formula>NOT(ISERROR(SEARCH("vac",D7)))</formula>
    </cfRule>
  </conditionalFormatting>
  <conditionalFormatting sqref="A12:B17">
    <cfRule type="containsText" dxfId="40" priority="9" operator="containsText" text="vacant">
      <formula>NOT(ISERROR(SEARCH("vacant",A12)))</formula>
    </cfRule>
  </conditionalFormatting>
  <conditionalFormatting sqref="C12:C17">
    <cfRule type="containsText" dxfId="39" priority="10" operator="containsText" text="vacant">
      <formula>NOT(ISERROR(SEARCH("vacant",C12)))</formula>
    </cfRule>
  </conditionalFormatting>
  <conditionalFormatting sqref="D16">
    <cfRule type="containsText" dxfId="38" priority="8" operator="containsText" text="vacant">
      <formula>NOT(ISERROR(SEARCH("vacant",D16)))</formula>
    </cfRule>
  </conditionalFormatting>
  <conditionalFormatting sqref="D16">
    <cfRule type="containsText" dxfId="37" priority="7" operator="containsText" text="vac">
      <formula>NOT(ISERROR(SEARCH("vac",D16)))</formula>
    </cfRule>
  </conditionalFormatting>
  <conditionalFormatting sqref="A22:B26">
    <cfRule type="containsText" dxfId="36" priority="5" operator="containsText" text="vacant">
      <formula>NOT(ISERROR(SEARCH("vacant",A22)))</formula>
    </cfRule>
  </conditionalFormatting>
  <conditionalFormatting sqref="C22:C25">
    <cfRule type="containsText" dxfId="35" priority="6" operator="containsText" text="vacant">
      <formula>NOT(ISERROR(SEARCH("vacant",C22)))</formula>
    </cfRule>
  </conditionalFormatting>
  <conditionalFormatting sqref="A31:B35">
    <cfRule type="containsText" dxfId="34" priority="3" operator="containsText" text="vacant">
      <formula>NOT(ISERROR(SEARCH("vacant",A31)))</formula>
    </cfRule>
  </conditionalFormatting>
  <conditionalFormatting sqref="C34:C35">
    <cfRule type="containsText" dxfId="33" priority="4" operator="containsText" text="vacant">
      <formula>NOT(ISERROR(SEARCH("vacant",C34)))</formula>
    </cfRule>
  </conditionalFormatting>
  <conditionalFormatting sqref="D32">
    <cfRule type="containsText" dxfId="32" priority="2" operator="containsText" text="vacant">
      <formula>NOT(ISERROR(SEARCH("vacant",D32)))</formula>
    </cfRule>
  </conditionalFormatting>
  <conditionalFormatting sqref="D32">
    <cfRule type="containsText" dxfId="31" priority="1" operator="containsText" text="vac">
      <formula>NOT(ISERROR(SEARCH("vac",D32)))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8699D5-FB4F-4095-A19B-7E188356DC7C}">
  <dimension ref="A1:H26"/>
  <sheetViews>
    <sheetView topLeftCell="A13" workbookViewId="0">
      <selection sqref="A1:H1"/>
    </sheetView>
  </sheetViews>
  <sheetFormatPr defaultRowHeight="15"/>
  <cols>
    <col min="5" max="5" width="13.28515625" customWidth="1"/>
    <col min="7" max="7" width="14.85546875" customWidth="1"/>
    <col min="8" max="8" width="14.140625" customWidth="1"/>
  </cols>
  <sheetData>
    <row r="1" spans="1:8">
      <c r="A1" s="40" t="s">
        <v>146</v>
      </c>
      <c r="B1" s="40"/>
      <c r="C1" s="40"/>
      <c r="D1" s="40"/>
      <c r="E1" s="40"/>
      <c r="F1" s="40"/>
      <c r="G1" s="40"/>
      <c r="H1" s="40"/>
    </row>
    <row r="2" spans="1:8" ht="15.75" thickBot="1"/>
    <row r="3" spans="1:8">
      <c r="A3" s="1" t="s">
        <v>0</v>
      </c>
      <c r="B3" s="2" t="s">
        <v>1</v>
      </c>
      <c r="C3" s="2" t="s">
        <v>2</v>
      </c>
      <c r="D3" s="3" t="s">
        <v>3</v>
      </c>
      <c r="E3" s="4" t="s">
        <v>4</v>
      </c>
      <c r="F3" s="2" t="s">
        <v>5</v>
      </c>
      <c r="G3" s="2" t="s">
        <v>6</v>
      </c>
      <c r="H3" s="5" t="s">
        <v>7</v>
      </c>
    </row>
    <row r="4" spans="1:8" ht="15.75">
      <c r="A4" s="6" t="s">
        <v>207</v>
      </c>
      <c r="B4" s="7" t="s">
        <v>132</v>
      </c>
      <c r="C4" s="22" t="s">
        <v>208</v>
      </c>
      <c r="D4" s="8" t="s">
        <v>209</v>
      </c>
      <c r="E4" s="10">
        <v>44951</v>
      </c>
      <c r="F4" s="10"/>
      <c r="G4" s="11" t="s">
        <v>210</v>
      </c>
      <c r="H4" s="12" t="s">
        <v>211</v>
      </c>
    </row>
    <row r="5" spans="1:8" ht="15.75">
      <c r="A5" s="13" t="s">
        <v>207</v>
      </c>
      <c r="B5" s="14" t="s">
        <v>132</v>
      </c>
      <c r="C5" s="21" t="s">
        <v>212</v>
      </c>
      <c r="D5" s="15" t="s">
        <v>213</v>
      </c>
      <c r="E5" s="17">
        <v>44536</v>
      </c>
      <c r="F5" s="17"/>
      <c r="G5" s="18" t="s">
        <v>214</v>
      </c>
      <c r="H5" s="19">
        <v>8180224085</v>
      </c>
    </row>
    <row r="6" spans="1:8" ht="15.75">
      <c r="A6" s="6" t="s">
        <v>207</v>
      </c>
      <c r="B6" s="7" t="s">
        <v>132</v>
      </c>
      <c r="C6" s="22" t="s">
        <v>215</v>
      </c>
      <c r="D6" s="8" t="s">
        <v>216</v>
      </c>
      <c r="E6" s="10">
        <v>45845</v>
      </c>
      <c r="F6" s="10"/>
      <c r="G6" s="11" t="s">
        <v>217</v>
      </c>
      <c r="H6" s="12">
        <v>373802651</v>
      </c>
    </row>
    <row r="7" spans="1:8" ht="15.75">
      <c r="A7" s="13" t="s">
        <v>207</v>
      </c>
      <c r="B7" s="14" t="s">
        <v>132</v>
      </c>
      <c r="C7" s="21" t="s">
        <v>218</v>
      </c>
      <c r="D7" s="15" t="s">
        <v>219</v>
      </c>
      <c r="E7" s="17">
        <v>45502</v>
      </c>
      <c r="F7" s="17"/>
      <c r="G7" s="18" t="s">
        <v>220</v>
      </c>
      <c r="H7" s="19" t="s">
        <v>221</v>
      </c>
    </row>
    <row r="8" spans="1:8" ht="15.75">
      <c r="A8" s="6" t="s">
        <v>207</v>
      </c>
      <c r="B8" s="7" t="s">
        <v>132</v>
      </c>
      <c r="C8" s="22" t="s">
        <v>222</v>
      </c>
      <c r="D8" s="8" t="s">
        <v>223</v>
      </c>
      <c r="E8" s="10">
        <v>45708</v>
      </c>
      <c r="F8" s="10"/>
      <c r="G8" s="11" t="s">
        <v>224</v>
      </c>
      <c r="H8" s="12" t="s">
        <v>225</v>
      </c>
    </row>
    <row r="9" spans="1:8" ht="15.75">
      <c r="A9" s="13" t="s">
        <v>207</v>
      </c>
      <c r="B9" s="14" t="s">
        <v>132</v>
      </c>
      <c r="C9" s="21" t="s">
        <v>226</v>
      </c>
      <c r="D9" s="15" t="s">
        <v>227</v>
      </c>
      <c r="E9" s="17">
        <v>45643</v>
      </c>
      <c r="F9" s="17"/>
      <c r="G9" s="18" t="s">
        <v>228</v>
      </c>
      <c r="H9" s="19" t="s">
        <v>229</v>
      </c>
    </row>
    <row r="11" spans="1:8">
      <c r="A11" s="40" t="s">
        <v>189</v>
      </c>
      <c r="B11" s="40"/>
      <c r="C11" s="40"/>
      <c r="D11" s="40"/>
      <c r="E11" s="40"/>
      <c r="F11" s="40"/>
      <c r="G11" s="40"/>
      <c r="H11" s="40"/>
    </row>
    <row r="12" spans="1:8" ht="15.75" thickBot="1"/>
    <row r="13" spans="1:8">
      <c r="A13" s="1" t="s">
        <v>0</v>
      </c>
      <c r="B13" s="2" t="s">
        <v>1</v>
      </c>
      <c r="C13" s="2" t="s">
        <v>2</v>
      </c>
      <c r="D13" s="3" t="s">
        <v>3</v>
      </c>
      <c r="E13" s="4" t="s">
        <v>4</v>
      </c>
      <c r="F13" s="2" t="s">
        <v>5</v>
      </c>
      <c r="G13" s="2" t="s">
        <v>6</v>
      </c>
      <c r="H13" s="5" t="s">
        <v>7</v>
      </c>
    </row>
    <row r="14" spans="1:8">
      <c r="A14" s="6" t="s">
        <v>207</v>
      </c>
      <c r="B14" s="7" t="s">
        <v>50</v>
      </c>
      <c r="C14" s="8" t="s">
        <v>230</v>
      </c>
      <c r="D14" s="8" t="s">
        <v>231</v>
      </c>
      <c r="E14" s="10">
        <v>45509</v>
      </c>
      <c r="F14" s="10"/>
      <c r="G14" s="11" t="s">
        <v>232</v>
      </c>
      <c r="H14" s="12" t="s">
        <v>233</v>
      </c>
    </row>
    <row r="15" spans="1:8">
      <c r="A15" s="13" t="s">
        <v>207</v>
      </c>
      <c r="B15" s="14" t="s">
        <v>50</v>
      </c>
      <c r="C15" s="15" t="s">
        <v>234</v>
      </c>
      <c r="D15" s="15" t="s">
        <v>235</v>
      </c>
      <c r="E15" s="17">
        <v>45079</v>
      </c>
      <c r="F15" s="17"/>
      <c r="G15" s="18" t="s">
        <v>236</v>
      </c>
      <c r="H15" s="19" t="s">
        <v>237</v>
      </c>
    </row>
    <row r="16" spans="1:8">
      <c r="A16" s="6" t="s">
        <v>207</v>
      </c>
      <c r="B16" s="7" t="s">
        <v>50</v>
      </c>
      <c r="C16" s="8" t="s">
        <v>238</v>
      </c>
      <c r="D16" s="8" t="s">
        <v>239</v>
      </c>
      <c r="E16" s="10">
        <v>45502</v>
      </c>
      <c r="F16" s="10"/>
      <c r="G16" s="11" t="s">
        <v>240</v>
      </c>
      <c r="H16" s="12" t="s">
        <v>241</v>
      </c>
    </row>
    <row r="17" spans="1:8">
      <c r="A17" s="13" t="s">
        <v>207</v>
      </c>
      <c r="B17" s="14" t="s">
        <v>50</v>
      </c>
      <c r="C17" s="15" t="s">
        <v>242</v>
      </c>
      <c r="D17" s="15" t="s">
        <v>243</v>
      </c>
      <c r="E17" s="17">
        <v>45419</v>
      </c>
      <c r="F17" s="17"/>
      <c r="G17" s="18" t="s">
        <v>244</v>
      </c>
      <c r="H17" s="19" t="s">
        <v>245</v>
      </c>
    </row>
    <row r="18" spans="1:8">
      <c r="A18" s="6" t="s">
        <v>207</v>
      </c>
      <c r="B18" s="7" t="s">
        <v>50</v>
      </c>
      <c r="C18" s="8" t="s">
        <v>246</v>
      </c>
      <c r="D18" s="8" t="s">
        <v>247</v>
      </c>
      <c r="E18" s="10">
        <v>44655</v>
      </c>
      <c r="F18" s="10"/>
      <c r="G18" s="11" t="s">
        <v>248</v>
      </c>
      <c r="H18" s="12">
        <v>8180355414</v>
      </c>
    </row>
    <row r="19" spans="1:8">
      <c r="A19" s="13" t="s">
        <v>207</v>
      </c>
      <c r="B19" s="14" t="s">
        <v>50</v>
      </c>
      <c r="C19" s="15" t="s">
        <v>249</v>
      </c>
      <c r="D19" s="15" t="s">
        <v>250</v>
      </c>
      <c r="E19" s="17">
        <v>45418</v>
      </c>
      <c r="F19" s="17"/>
      <c r="G19" s="18" t="s">
        <v>251</v>
      </c>
      <c r="H19" s="19" t="s">
        <v>252</v>
      </c>
    </row>
    <row r="21" spans="1:8">
      <c r="A21" s="40" t="s">
        <v>206</v>
      </c>
      <c r="B21" s="40"/>
      <c r="C21" s="40"/>
      <c r="D21" s="40"/>
      <c r="E21" s="40"/>
      <c r="F21" s="40"/>
      <c r="G21" s="40"/>
      <c r="H21" s="40"/>
    </row>
    <row r="22" spans="1:8" ht="15.75" thickBot="1"/>
    <row r="23" spans="1:8">
      <c r="A23" s="1" t="s">
        <v>0</v>
      </c>
      <c r="B23" s="2" t="s">
        <v>1</v>
      </c>
      <c r="C23" s="2" t="s">
        <v>2</v>
      </c>
      <c r="D23" s="3" t="s">
        <v>3</v>
      </c>
      <c r="E23" s="4" t="s">
        <v>4</v>
      </c>
      <c r="F23" s="2" t="s">
        <v>5</v>
      </c>
      <c r="G23" s="2" t="s">
        <v>6</v>
      </c>
      <c r="H23" s="5" t="s">
        <v>7</v>
      </c>
    </row>
    <row r="24" spans="1:8">
      <c r="A24" s="6" t="s">
        <v>207</v>
      </c>
      <c r="B24" s="7" t="s">
        <v>84</v>
      </c>
      <c r="C24" s="8" t="s">
        <v>253</v>
      </c>
      <c r="D24" s="8" t="s">
        <v>254</v>
      </c>
      <c r="E24" s="10">
        <v>45841</v>
      </c>
      <c r="F24" s="10"/>
      <c r="G24" s="11" t="s">
        <v>255</v>
      </c>
      <c r="H24" s="12" t="s">
        <v>256</v>
      </c>
    </row>
    <row r="25" spans="1:8">
      <c r="A25" s="13" t="s">
        <v>207</v>
      </c>
      <c r="B25" s="14" t="s">
        <v>84</v>
      </c>
      <c r="C25" s="15" t="s">
        <v>257</v>
      </c>
      <c r="D25" s="15" t="s">
        <v>258</v>
      </c>
      <c r="E25" s="17">
        <v>45824</v>
      </c>
      <c r="F25" s="17"/>
      <c r="G25" s="18" t="s">
        <v>259</v>
      </c>
      <c r="H25" s="19" t="s">
        <v>260</v>
      </c>
    </row>
    <row r="26" spans="1:8">
      <c r="A26" s="6" t="s">
        <v>207</v>
      </c>
      <c r="B26" s="7" t="s">
        <v>84</v>
      </c>
      <c r="C26" s="8" t="s">
        <v>261</v>
      </c>
      <c r="D26" s="8" t="s">
        <v>262</v>
      </c>
      <c r="E26" s="10">
        <v>45873</v>
      </c>
      <c r="F26" s="10"/>
      <c r="G26" s="11" t="s">
        <v>263</v>
      </c>
      <c r="H26" s="12" t="s">
        <v>264</v>
      </c>
    </row>
  </sheetData>
  <mergeCells count="3">
    <mergeCell ref="A1:H1"/>
    <mergeCell ref="A11:H11"/>
    <mergeCell ref="A21:H21"/>
  </mergeCells>
  <conditionalFormatting sqref="A4:B9">
    <cfRule type="containsText" dxfId="30" priority="7" operator="containsText" text="vacant">
      <formula>NOT(ISERROR(SEARCH("vacant",A4)))</formula>
    </cfRule>
  </conditionalFormatting>
  <conditionalFormatting sqref="C4:C9">
    <cfRule type="containsText" dxfId="29" priority="8" operator="containsText" text="vacant">
      <formula>NOT(ISERROR(SEARCH("vacant",C4)))</formula>
    </cfRule>
  </conditionalFormatting>
  <conditionalFormatting sqref="D8">
    <cfRule type="containsText" dxfId="28" priority="6" operator="containsText" text="vacant">
      <formula>NOT(ISERROR(SEARCH("vacant",D8)))</formula>
    </cfRule>
  </conditionalFormatting>
  <conditionalFormatting sqref="D8">
    <cfRule type="containsText" dxfId="27" priority="5" operator="containsText" text="vac">
      <formula>NOT(ISERROR(SEARCH("vac",D8)))</formula>
    </cfRule>
  </conditionalFormatting>
  <conditionalFormatting sqref="A14:B19">
    <cfRule type="containsText" dxfId="26" priority="3" operator="containsText" text="vacant">
      <formula>NOT(ISERROR(SEARCH("vacant",A14)))</formula>
    </cfRule>
  </conditionalFormatting>
  <conditionalFormatting sqref="C14:C19">
    <cfRule type="containsText" dxfId="25" priority="4" operator="containsText" text="vacant">
      <formula>NOT(ISERROR(SEARCH("vacant",C14)))</formula>
    </cfRule>
  </conditionalFormatting>
  <conditionalFormatting sqref="A24:B26">
    <cfRule type="containsText" dxfId="24" priority="1" operator="containsText" text="vacant">
      <formula>NOT(ISERROR(SEARCH("vacant",A24)))</formula>
    </cfRule>
  </conditionalFormatting>
  <conditionalFormatting sqref="C24:C26">
    <cfRule type="containsText" dxfId="23" priority="2" operator="containsText" text="vacant">
      <formula>NOT(ISERROR(SEARCH("vacant",C24)))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E6157F-DCF2-4B3F-B097-6DE5441C7E0C}">
  <dimension ref="A1:I22"/>
  <sheetViews>
    <sheetView workbookViewId="0">
      <selection activeCell="D22" sqref="D22"/>
    </sheetView>
  </sheetViews>
  <sheetFormatPr defaultRowHeight="15"/>
  <cols>
    <col min="4" max="4" width="14.28515625" customWidth="1"/>
    <col min="5" max="5" width="13.5703125" customWidth="1"/>
    <col min="8" max="8" width="12.42578125" customWidth="1"/>
  </cols>
  <sheetData>
    <row r="1" spans="1:9">
      <c r="A1" s="40" t="s">
        <v>146</v>
      </c>
      <c r="B1" s="40"/>
      <c r="C1" s="40"/>
      <c r="D1" s="40"/>
      <c r="E1" s="40"/>
      <c r="F1" s="40"/>
      <c r="G1" s="40"/>
      <c r="H1" s="40"/>
    </row>
    <row r="2" spans="1:9" ht="15.75" thickBot="1"/>
    <row r="3" spans="1:9">
      <c r="A3" s="1" t="s">
        <v>0</v>
      </c>
      <c r="B3" s="2" t="s">
        <v>1</v>
      </c>
      <c r="C3" s="2" t="s">
        <v>2</v>
      </c>
      <c r="D3" s="3" t="s">
        <v>3</v>
      </c>
      <c r="E3" s="4" t="s">
        <v>4</v>
      </c>
      <c r="F3" s="2" t="s">
        <v>5</v>
      </c>
      <c r="G3" s="2" t="s">
        <v>6</v>
      </c>
      <c r="H3" s="5" t="s">
        <v>7</v>
      </c>
    </row>
    <row r="4" spans="1:9">
      <c r="A4" s="6" t="s">
        <v>265</v>
      </c>
      <c r="B4" s="7" t="s">
        <v>132</v>
      </c>
      <c r="C4" s="36" t="s">
        <v>266</v>
      </c>
      <c r="D4" s="8" t="s">
        <v>267</v>
      </c>
      <c r="E4" s="10">
        <v>45649</v>
      </c>
      <c r="F4" s="10"/>
      <c r="G4" s="11" t="s">
        <v>268</v>
      </c>
      <c r="H4" s="12" t="s">
        <v>269</v>
      </c>
      <c r="I4" t="s">
        <v>358</v>
      </c>
    </row>
    <row r="6" spans="1:9">
      <c r="A6" s="40" t="s">
        <v>26</v>
      </c>
      <c r="B6" s="40"/>
      <c r="C6" s="40"/>
      <c r="D6" s="40"/>
      <c r="E6" s="40"/>
      <c r="F6" s="40"/>
      <c r="G6" s="40"/>
      <c r="H6" s="40"/>
    </row>
    <row r="7" spans="1:9" ht="15.75" thickBot="1"/>
    <row r="8" spans="1:9">
      <c r="A8" s="1" t="s">
        <v>0</v>
      </c>
      <c r="B8" s="2" t="s">
        <v>1</v>
      </c>
      <c r="C8" s="2" t="s">
        <v>2</v>
      </c>
      <c r="D8" s="3" t="s">
        <v>3</v>
      </c>
      <c r="E8" s="4" t="s">
        <v>4</v>
      </c>
      <c r="F8" s="2" t="s">
        <v>5</v>
      </c>
      <c r="G8" s="2" t="s">
        <v>6</v>
      </c>
      <c r="H8" s="5" t="s">
        <v>7</v>
      </c>
    </row>
    <row r="9" spans="1:9" ht="15.75">
      <c r="A9" s="6" t="s">
        <v>265</v>
      </c>
      <c r="B9" s="7" t="s">
        <v>26</v>
      </c>
      <c r="C9" s="22" t="s">
        <v>270</v>
      </c>
      <c r="D9" s="8" t="s">
        <v>271</v>
      </c>
      <c r="E9" s="10">
        <v>44137</v>
      </c>
      <c r="F9" s="10"/>
      <c r="G9" s="11" t="s">
        <v>272</v>
      </c>
      <c r="H9" s="12">
        <v>3780397925</v>
      </c>
    </row>
    <row r="10" spans="1:9" ht="15.75">
      <c r="A10" s="13" t="s">
        <v>265</v>
      </c>
      <c r="B10" s="14" t="s">
        <v>26</v>
      </c>
      <c r="C10" s="21" t="s">
        <v>273</v>
      </c>
      <c r="D10" s="15" t="s">
        <v>274</v>
      </c>
      <c r="E10" s="17">
        <v>45894</v>
      </c>
      <c r="F10" s="17"/>
      <c r="G10" s="18" t="s">
        <v>275</v>
      </c>
      <c r="H10" s="19" t="s">
        <v>276</v>
      </c>
      <c r="I10" t="s">
        <v>361</v>
      </c>
    </row>
    <row r="11" spans="1:9" ht="15.75">
      <c r="A11" s="6" t="s">
        <v>265</v>
      </c>
      <c r="B11" s="7" t="s">
        <v>26</v>
      </c>
      <c r="C11" s="22" t="s">
        <v>277</v>
      </c>
      <c r="D11" s="8" t="s">
        <v>278</v>
      </c>
      <c r="E11" s="10">
        <v>43349</v>
      </c>
      <c r="F11" s="10"/>
      <c r="G11" s="11" t="s">
        <v>279</v>
      </c>
      <c r="H11" s="12" t="s">
        <v>280</v>
      </c>
    </row>
    <row r="12" spans="1:9" ht="15.75">
      <c r="A12" s="13" t="s">
        <v>265</v>
      </c>
      <c r="B12" s="14" t="s">
        <v>26</v>
      </c>
      <c r="C12" s="21" t="s">
        <v>281</v>
      </c>
      <c r="D12" s="15" t="s">
        <v>282</v>
      </c>
      <c r="E12" s="17">
        <v>43332</v>
      </c>
      <c r="F12" s="17"/>
      <c r="G12" s="18" t="s">
        <v>283</v>
      </c>
      <c r="H12" s="19" t="s">
        <v>284</v>
      </c>
    </row>
    <row r="14" spans="1:9">
      <c r="A14" s="40" t="s">
        <v>189</v>
      </c>
      <c r="B14" s="40"/>
      <c r="C14" s="40"/>
      <c r="D14" s="40"/>
      <c r="E14" s="40"/>
      <c r="F14" s="40"/>
      <c r="G14" s="40"/>
      <c r="H14" s="40"/>
    </row>
    <row r="15" spans="1:9" ht="15.75" thickBot="1"/>
    <row r="16" spans="1:9">
      <c r="A16" s="1" t="s">
        <v>0</v>
      </c>
      <c r="B16" s="2" t="s">
        <v>1</v>
      </c>
      <c r="C16" s="2" t="s">
        <v>2</v>
      </c>
      <c r="D16" s="3" t="s">
        <v>3</v>
      </c>
      <c r="E16" s="4" t="s">
        <v>4</v>
      </c>
      <c r="F16" s="2" t="s">
        <v>5</v>
      </c>
      <c r="G16" s="2" t="s">
        <v>6</v>
      </c>
      <c r="H16" s="5" t="s">
        <v>7</v>
      </c>
    </row>
    <row r="17" spans="1:9" ht="15.75">
      <c r="A17" s="6" t="s">
        <v>265</v>
      </c>
      <c r="B17" s="7" t="s">
        <v>50</v>
      </c>
      <c r="C17" s="22" t="s">
        <v>285</v>
      </c>
      <c r="D17" s="8" t="s">
        <v>286</v>
      </c>
      <c r="E17" s="10">
        <v>44538</v>
      </c>
      <c r="F17" s="10"/>
      <c r="G17" s="11" t="s">
        <v>287</v>
      </c>
      <c r="H17" s="12" t="s">
        <v>288</v>
      </c>
      <c r="I17" t="s">
        <v>358</v>
      </c>
    </row>
    <row r="19" spans="1:9">
      <c r="A19" s="40" t="s">
        <v>206</v>
      </c>
      <c r="B19" s="40"/>
      <c r="C19" s="40"/>
      <c r="D19" s="40"/>
      <c r="E19" s="40"/>
      <c r="F19" s="40"/>
      <c r="G19" s="40"/>
      <c r="H19" s="40"/>
    </row>
    <row r="20" spans="1:9" ht="15.75" thickBot="1"/>
    <row r="21" spans="1:9">
      <c r="A21" s="1" t="s">
        <v>0</v>
      </c>
      <c r="B21" s="2" t="s">
        <v>1</v>
      </c>
      <c r="C21" s="2" t="s">
        <v>2</v>
      </c>
      <c r="D21" s="3" t="s">
        <v>3</v>
      </c>
      <c r="E21" s="4" t="s">
        <v>4</v>
      </c>
      <c r="F21" s="2" t="s">
        <v>5</v>
      </c>
      <c r="G21" s="2" t="s">
        <v>6</v>
      </c>
      <c r="H21" s="5" t="s">
        <v>7</v>
      </c>
    </row>
    <row r="22" spans="1:9" ht="15.75">
      <c r="A22" s="6" t="s">
        <v>265</v>
      </c>
      <c r="B22" s="7" t="s">
        <v>84</v>
      </c>
      <c r="C22" s="22" t="s">
        <v>289</v>
      </c>
      <c r="D22" s="8" t="s">
        <v>290</v>
      </c>
      <c r="E22" s="10">
        <v>45104</v>
      </c>
      <c r="F22" s="10"/>
      <c r="G22" s="11" t="s">
        <v>291</v>
      </c>
      <c r="H22" s="12" t="s">
        <v>292</v>
      </c>
    </row>
  </sheetData>
  <mergeCells count="4">
    <mergeCell ref="A1:H1"/>
    <mergeCell ref="A6:H6"/>
    <mergeCell ref="A14:H14"/>
    <mergeCell ref="A19:H19"/>
  </mergeCells>
  <conditionalFormatting sqref="A4:B4">
    <cfRule type="containsText" dxfId="22" priority="6" operator="containsText" text="vacant">
      <formula>NOT(ISERROR(SEARCH("vacant",A4)))</formula>
    </cfRule>
  </conditionalFormatting>
  <conditionalFormatting sqref="C4">
    <cfRule type="containsText" dxfId="21" priority="7" operator="containsText" text="vacant">
      <formula>NOT(ISERROR(SEARCH("vacant",C4)))</formula>
    </cfRule>
  </conditionalFormatting>
  <conditionalFormatting sqref="A9:B12">
    <cfRule type="containsText" dxfId="20" priority="5" operator="containsText" text="vacant">
      <formula>NOT(ISERROR(SEARCH("vacant",A9)))</formula>
    </cfRule>
  </conditionalFormatting>
  <conditionalFormatting sqref="A17:B17">
    <cfRule type="containsText" dxfId="19" priority="3" operator="containsText" text="vacant">
      <formula>NOT(ISERROR(SEARCH("vacant",A17)))</formula>
    </cfRule>
  </conditionalFormatting>
  <conditionalFormatting sqref="C17">
    <cfRule type="containsText" dxfId="18" priority="4" operator="containsText" text="vacant">
      <formula>NOT(ISERROR(SEARCH("vacant",C17)))</formula>
    </cfRule>
  </conditionalFormatting>
  <conditionalFormatting sqref="A22:B22">
    <cfRule type="containsText" dxfId="17" priority="1" operator="containsText" text="vacant">
      <formula>NOT(ISERROR(SEARCH("vacant",A22)))</formula>
    </cfRule>
  </conditionalFormatting>
  <conditionalFormatting sqref="C22">
    <cfRule type="containsText" dxfId="16" priority="2" operator="containsText" text="vacant">
      <formula>NOT(ISERROR(SEARCH("vacant",C22)))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5D13F8-1B74-4A3B-A4C4-3ECE269A7852}">
  <dimension ref="A1:I33"/>
  <sheetViews>
    <sheetView workbookViewId="0">
      <selection activeCell="M8" sqref="M8"/>
    </sheetView>
  </sheetViews>
  <sheetFormatPr defaultRowHeight="15"/>
  <cols>
    <col min="5" max="5" width="12.28515625" customWidth="1"/>
    <col min="8" max="8" width="15" customWidth="1"/>
  </cols>
  <sheetData>
    <row r="1" spans="1:9">
      <c r="A1" s="40" t="s">
        <v>146</v>
      </c>
      <c r="B1" s="40"/>
      <c r="C1" s="40"/>
      <c r="D1" s="40"/>
      <c r="E1" s="40"/>
      <c r="F1" s="40"/>
      <c r="G1" s="40"/>
      <c r="H1" s="40"/>
    </row>
    <row r="2" spans="1:9" ht="15.75" thickBot="1"/>
    <row r="3" spans="1:9">
      <c r="A3" s="1" t="s">
        <v>0</v>
      </c>
      <c r="B3" s="2" t="s">
        <v>1</v>
      </c>
      <c r="C3" s="2" t="s">
        <v>2</v>
      </c>
      <c r="D3" s="3" t="s">
        <v>3</v>
      </c>
      <c r="E3" s="4" t="s">
        <v>4</v>
      </c>
      <c r="F3" s="2" t="s">
        <v>5</v>
      </c>
      <c r="G3" s="2" t="s">
        <v>6</v>
      </c>
      <c r="H3" s="5" t="s">
        <v>7</v>
      </c>
    </row>
    <row r="4" spans="1:9">
      <c r="A4" s="6" t="s">
        <v>293</v>
      </c>
      <c r="B4" s="7" t="s">
        <v>132</v>
      </c>
      <c r="C4" s="11" t="s">
        <v>294</v>
      </c>
      <c r="D4" s="11" t="s">
        <v>295</v>
      </c>
      <c r="E4" s="10">
        <v>45468</v>
      </c>
      <c r="F4" s="10"/>
      <c r="G4" s="11" t="s">
        <v>296</v>
      </c>
      <c r="H4" s="12" t="s">
        <v>297</v>
      </c>
    </row>
    <row r="5" spans="1:9">
      <c r="A5" s="13" t="s">
        <v>293</v>
      </c>
      <c r="B5" s="14" t="s">
        <v>132</v>
      </c>
      <c r="C5" s="18" t="s">
        <v>298</v>
      </c>
      <c r="D5" s="18" t="s">
        <v>299</v>
      </c>
      <c r="E5" s="17">
        <v>44734</v>
      </c>
      <c r="F5" s="17"/>
      <c r="G5" s="18" t="s">
        <v>300</v>
      </c>
      <c r="H5" s="19">
        <v>3210914411</v>
      </c>
      <c r="I5" t="s">
        <v>362</v>
      </c>
    </row>
    <row r="6" spans="1:9">
      <c r="A6" s="6" t="s">
        <v>293</v>
      </c>
      <c r="B6" s="7" t="s">
        <v>132</v>
      </c>
      <c r="C6" s="11" t="s">
        <v>301</v>
      </c>
      <c r="D6" s="11" t="s">
        <v>302</v>
      </c>
      <c r="E6" s="10">
        <v>45558</v>
      </c>
      <c r="F6" s="10"/>
      <c r="G6" s="11" t="s">
        <v>303</v>
      </c>
      <c r="H6" s="12" t="s">
        <v>304</v>
      </c>
    </row>
    <row r="7" spans="1:9">
      <c r="A7" s="13" t="s">
        <v>293</v>
      </c>
      <c r="B7" s="14" t="s">
        <v>132</v>
      </c>
      <c r="C7" s="18" t="s">
        <v>305</v>
      </c>
      <c r="D7" s="18" t="s">
        <v>306</v>
      </c>
      <c r="E7" s="17">
        <v>45820</v>
      </c>
      <c r="F7" s="17"/>
      <c r="G7" s="18" t="s">
        <v>307</v>
      </c>
      <c r="H7" s="19" t="s">
        <v>308</v>
      </c>
    </row>
    <row r="8" spans="1:9">
      <c r="A8" s="6" t="s">
        <v>293</v>
      </c>
      <c r="B8" s="7" t="s">
        <v>132</v>
      </c>
      <c r="C8" s="11" t="s">
        <v>309</v>
      </c>
      <c r="D8" s="11" t="s">
        <v>310</v>
      </c>
      <c r="E8" s="10">
        <v>45679</v>
      </c>
      <c r="F8" s="10"/>
      <c r="G8" s="11" t="s">
        <v>311</v>
      </c>
      <c r="H8" s="12" t="s">
        <v>312</v>
      </c>
    </row>
    <row r="10" spans="1:9">
      <c r="A10" s="40" t="s">
        <v>26</v>
      </c>
      <c r="B10" s="40"/>
      <c r="C10" s="40"/>
      <c r="D10" s="40"/>
      <c r="E10" s="40"/>
      <c r="F10" s="40"/>
      <c r="G10" s="40"/>
      <c r="H10" s="40"/>
    </row>
    <row r="11" spans="1:9" ht="15.75" thickBot="1"/>
    <row r="12" spans="1:9">
      <c r="A12" s="1" t="s">
        <v>0</v>
      </c>
      <c r="B12" s="2" t="s">
        <v>1</v>
      </c>
      <c r="C12" s="2" t="s">
        <v>2</v>
      </c>
      <c r="D12" s="3" t="s">
        <v>3</v>
      </c>
      <c r="E12" s="4" t="s">
        <v>4</v>
      </c>
      <c r="F12" s="2" t="s">
        <v>5</v>
      </c>
      <c r="G12" s="2" t="s">
        <v>6</v>
      </c>
      <c r="H12" s="5" t="s">
        <v>7</v>
      </c>
    </row>
    <row r="13" spans="1:9">
      <c r="A13" s="6" t="s">
        <v>293</v>
      </c>
      <c r="B13" s="7" t="s">
        <v>26</v>
      </c>
      <c r="C13" s="36" t="s">
        <v>313</v>
      </c>
      <c r="D13" s="11" t="s">
        <v>314</v>
      </c>
      <c r="E13" s="10">
        <v>44533</v>
      </c>
      <c r="F13" s="10"/>
      <c r="G13" s="11" t="s">
        <v>315</v>
      </c>
      <c r="H13" s="12" t="s">
        <v>316</v>
      </c>
    </row>
    <row r="14" spans="1:9">
      <c r="A14" s="13" t="s">
        <v>293</v>
      </c>
      <c r="B14" s="14" t="s">
        <v>26</v>
      </c>
      <c r="C14" s="35" t="s">
        <v>317</v>
      </c>
      <c r="D14" s="18" t="s">
        <v>318</v>
      </c>
      <c r="E14" s="17">
        <v>44781</v>
      </c>
      <c r="F14" s="17"/>
      <c r="G14" s="18" t="s">
        <v>319</v>
      </c>
      <c r="H14" s="19">
        <v>3210939872</v>
      </c>
    </row>
    <row r="15" spans="1:9">
      <c r="A15" s="6" t="s">
        <v>293</v>
      </c>
      <c r="B15" s="7" t="s">
        <v>26</v>
      </c>
      <c r="C15" s="36" t="s">
        <v>320</v>
      </c>
      <c r="D15" s="11" t="s">
        <v>321</v>
      </c>
      <c r="E15" s="10">
        <v>45824</v>
      </c>
      <c r="F15" s="10"/>
      <c r="G15" s="11" t="s">
        <v>322</v>
      </c>
      <c r="H15" s="12" t="s">
        <v>323</v>
      </c>
    </row>
    <row r="17" spans="1:8">
      <c r="A17" s="40" t="s">
        <v>189</v>
      </c>
      <c r="B17" s="40"/>
      <c r="C17" s="40"/>
      <c r="D17" s="40"/>
      <c r="E17" s="40"/>
      <c r="F17" s="40"/>
      <c r="G17" s="40"/>
      <c r="H17" s="40"/>
    </row>
    <row r="18" spans="1:8" ht="15.75" thickBot="1"/>
    <row r="19" spans="1:8">
      <c r="A19" s="1" t="s">
        <v>0</v>
      </c>
      <c r="B19" s="2" t="s">
        <v>1</v>
      </c>
      <c r="C19" s="2" t="s">
        <v>2</v>
      </c>
      <c r="D19" s="3" t="s">
        <v>3</v>
      </c>
      <c r="E19" s="4" t="s">
        <v>4</v>
      </c>
      <c r="F19" s="2" t="s">
        <v>5</v>
      </c>
      <c r="G19" s="2" t="s">
        <v>6</v>
      </c>
      <c r="H19" s="5" t="s">
        <v>7</v>
      </c>
    </row>
    <row r="20" spans="1:8">
      <c r="A20" s="6" t="s">
        <v>293</v>
      </c>
      <c r="B20" s="7" t="s">
        <v>50</v>
      </c>
      <c r="C20" s="36" t="s">
        <v>324</v>
      </c>
      <c r="D20" s="11" t="s">
        <v>325</v>
      </c>
      <c r="E20" s="10" t="s">
        <v>326</v>
      </c>
      <c r="F20" s="10"/>
      <c r="G20" s="11" t="s">
        <v>196</v>
      </c>
      <c r="H20" s="12" t="s">
        <v>196</v>
      </c>
    </row>
    <row r="21" spans="1:8">
      <c r="A21" s="13" t="s">
        <v>293</v>
      </c>
      <c r="B21" s="14" t="s">
        <v>50</v>
      </c>
      <c r="C21" s="35" t="s">
        <v>327</v>
      </c>
      <c r="D21" s="18" t="s">
        <v>328</v>
      </c>
      <c r="E21" s="17">
        <v>44907</v>
      </c>
      <c r="F21" s="17"/>
      <c r="G21" s="18" t="s">
        <v>329</v>
      </c>
      <c r="H21" s="19" t="s">
        <v>330</v>
      </c>
    </row>
    <row r="22" spans="1:8">
      <c r="A22" s="6" t="s">
        <v>293</v>
      </c>
      <c r="B22" s="7" t="s">
        <v>50</v>
      </c>
      <c r="C22" s="36" t="s">
        <v>331</v>
      </c>
      <c r="D22" s="11" t="s">
        <v>332</v>
      </c>
      <c r="E22" s="10">
        <v>45936</v>
      </c>
      <c r="F22" s="10"/>
      <c r="G22" s="11" t="s">
        <v>333</v>
      </c>
      <c r="H22" s="12" t="s">
        <v>334</v>
      </c>
    </row>
    <row r="23" spans="1:8">
      <c r="A23" s="13" t="s">
        <v>293</v>
      </c>
      <c r="B23" s="14" t="s">
        <v>50</v>
      </c>
      <c r="C23" s="35" t="s">
        <v>335</v>
      </c>
      <c r="D23" s="15" t="s">
        <v>336</v>
      </c>
      <c r="E23" s="17">
        <v>45824</v>
      </c>
      <c r="F23" s="17"/>
      <c r="G23" s="18" t="s">
        <v>337</v>
      </c>
      <c r="H23" s="19" t="s">
        <v>338</v>
      </c>
    </row>
    <row r="24" spans="1:8">
      <c r="A24" s="6" t="s">
        <v>293</v>
      </c>
      <c r="B24" s="7" t="s">
        <v>50</v>
      </c>
      <c r="C24" s="36" t="s">
        <v>339</v>
      </c>
      <c r="D24" s="11" t="s">
        <v>340</v>
      </c>
      <c r="E24" s="10">
        <v>45996</v>
      </c>
      <c r="F24" s="10"/>
      <c r="G24" s="11" t="s">
        <v>341</v>
      </c>
      <c r="H24" s="12" t="s">
        <v>342</v>
      </c>
    </row>
    <row r="26" spans="1:8">
      <c r="A26" s="40" t="s">
        <v>206</v>
      </c>
      <c r="B26" s="40"/>
      <c r="C26" s="40"/>
      <c r="D26" s="40"/>
      <c r="E26" s="40"/>
      <c r="F26" s="40"/>
      <c r="G26" s="40"/>
      <c r="H26" s="40"/>
    </row>
    <row r="27" spans="1:8" ht="15.75" thickBot="1"/>
    <row r="28" spans="1:8">
      <c r="A28" s="1" t="s">
        <v>0</v>
      </c>
      <c r="B28" s="2" t="s">
        <v>1</v>
      </c>
      <c r="C28" s="2" t="s">
        <v>2</v>
      </c>
      <c r="D28" s="3" t="s">
        <v>3</v>
      </c>
      <c r="E28" s="4" t="s">
        <v>4</v>
      </c>
      <c r="F28" s="2" t="s">
        <v>5</v>
      </c>
      <c r="G28" s="2" t="s">
        <v>6</v>
      </c>
      <c r="H28" s="5" t="s">
        <v>7</v>
      </c>
    </row>
    <row r="29" spans="1:8">
      <c r="A29" s="6" t="s">
        <v>293</v>
      </c>
      <c r="B29" s="7" t="s">
        <v>84</v>
      </c>
      <c r="C29" s="8" t="s">
        <v>343</v>
      </c>
      <c r="D29" s="11" t="s">
        <v>344</v>
      </c>
      <c r="E29" s="10">
        <v>44835</v>
      </c>
      <c r="F29" s="10"/>
      <c r="G29" s="11" t="s">
        <v>345</v>
      </c>
      <c r="H29" s="12">
        <v>2030529947</v>
      </c>
    </row>
    <row r="30" spans="1:8">
      <c r="A30" s="13" t="s">
        <v>293</v>
      </c>
      <c r="B30" s="14" t="s">
        <v>84</v>
      </c>
      <c r="C30" s="15" t="s">
        <v>346</v>
      </c>
      <c r="D30" s="15" t="s">
        <v>347</v>
      </c>
      <c r="E30" s="17">
        <v>44106</v>
      </c>
      <c r="F30" s="17"/>
      <c r="G30" s="18" t="s">
        <v>348</v>
      </c>
      <c r="H30" s="19" t="s">
        <v>349</v>
      </c>
    </row>
    <row r="31" spans="1:8">
      <c r="A31" s="6" t="s">
        <v>293</v>
      </c>
      <c r="B31" s="7" t="s">
        <v>84</v>
      </c>
      <c r="C31" s="8" t="s">
        <v>350</v>
      </c>
      <c r="D31" s="8" t="s">
        <v>351</v>
      </c>
      <c r="E31" s="10">
        <v>45803</v>
      </c>
      <c r="F31" s="10"/>
      <c r="G31" s="11" t="s">
        <v>352</v>
      </c>
      <c r="H31" s="12" t="s">
        <v>353</v>
      </c>
    </row>
    <row r="32" spans="1:8">
      <c r="A32" s="13" t="s">
        <v>293</v>
      </c>
      <c r="B32" s="14" t="s">
        <v>84</v>
      </c>
      <c r="C32" s="15" t="s">
        <v>354</v>
      </c>
      <c r="D32" s="18" t="s">
        <v>355</v>
      </c>
      <c r="E32" s="17">
        <v>44771</v>
      </c>
      <c r="F32" s="37">
        <v>46038</v>
      </c>
      <c r="G32" s="18" t="s">
        <v>356</v>
      </c>
      <c r="H32" s="19">
        <v>2090798238</v>
      </c>
    </row>
    <row r="33" spans="1:8">
      <c r="A33" s="6" t="s">
        <v>293</v>
      </c>
      <c r="B33" s="7" t="s">
        <v>84</v>
      </c>
      <c r="C33" s="8" t="s">
        <v>357</v>
      </c>
      <c r="D33" s="11" t="s">
        <v>82</v>
      </c>
      <c r="E33" s="10">
        <v>0</v>
      </c>
      <c r="F33" s="10"/>
      <c r="G33" s="11">
        <v>0</v>
      </c>
      <c r="H33" s="12">
        <v>0</v>
      </c>
    </row>
  </sheetData>
  <mergeCells count="4">
    <mergeCell ref="A1:H1"/>
    <mergeCell ref="A10:H10"/>
    <mergeCell ref="A17:H17"/>
    <mergeCell ref="A26:H26"/>
  </mergeCells>
  <conditionalFormatting sqref="A4:B8">
    <cfRule type="containsText" dxfId="15" priority="15" operator="containsText" text="vacant">
      <formula>NOT(ISERROR(SEARCH("vacant",A4)))</formula>
    </cfRule>
  </conditionalFormatting>
  <conditionalFormatting sqref="C4:C5">
    <cfRule type="containsText" dxfId="14" priority="16" operator="containsText" text="vacant">
      <formula>NOT(ISERROR(SEARCH("vacant",C4)))</formula>
    </cfRule>
  </conditionalFormatting>
  <conditionalFormatting sqref="A13:B15">
    <cfRule type="containsText" dxfId="13" priority="13" operator="containsText" text="vacant">
      <formula>NOT(ISERROR(SEARCH("vacant",A13)))</formula>
    </cfRule>
  </conditionalFormatting>
  <conditionalFormatting sqref="C14:C15">
    <cfRule type="containsText" dxfId="12" priority="14" operator="containsText" text="vacant">
      <formula>NOT(ISERROR(SEARCH("vacant",C14)))</formula>
    </cfRule>
  </conditionalFormatting>
  <conditionalFormatting sqref="A20:B24">
    <cfRule type="containsText" dxfId="11" priority="11" operator="containsText" text="vacant">
      <formula>NOT(ISERROR(SEARCH("vacant",A20)))</formula>
    </cfRule>
  </conditionalFormatting>
  <conditionalFormatting sqref="C20:C24">
    <cfRule type="containsText" dxfId="10" priority="12" operator="containsText" text="vacant">
      <formula>NOT(ISERROR(SEARCH("vacant",C20)))</formula>
    </cfRule>
  </conditionalFormatting>
  <conditionalFormatting sqref="D23">
    <cfRule type="containsText" dxfId="9" priority="10" operator="containsText" text="vacant">
      <formula>NOT(ISERROR(SEARCH("vacant",D23)))</formula>
    </cfRule>
  </conditionalFormatting>
  <conditionalFormatting sqref="D23">
    <cfRule type="containsText" dxfId="8" priority="9" operator="containsText" text="vac">
      <formula>NOT(ISERROR(SEARCH("vac",D23)))</formula>
    </cfRule>
  </conditionalFormatting>
  <conditionalFormatting sqref="A29:B33">
    <cfRule type="containsText" dxfId="7" priority="7" operator="containsText" text="vacant">
      <formula>NOT(ISERROR(SEARCH("vacant",A29)))</formula>
    </cfRule>
  </conditionalFormatting>
  <conditionalFormatting sqref="C29:C30">
    <cfRule type="containsText" dxfId="6" priority="8" operator="containsText" text="vacant">
      <formula>NOT(ISERROR(SEARCH("vacant",C29)))</formula>
    </cfRule>
  </conditionalFormatting>
  <conditionalFormatting sqref="D30">
    <cfRule type="containsText" dxfId="5" priority="6" operator="containsText" text="vacant">
      <formula>NOT(ISERROR(SEARCH("vacant",D30)))</formula>
    </cfRule>
  </conditionalFormatting>
  <conditionalFormatting sqref="D30">
    <cfRule type="containsText" dxfId="4" priority="5" operator="containsText" text="vac">
      <formula>NOT(ISERROR(SEARCH("vac",D30)))</formula>
    </cfRule>
  </conditionalFormatting>
  <conditionalFormatting sqref="D31">
    <cfRule type="containsText" dxfId="3" priority="4" operator="containsText" text="vacant">
      <formula>NOT(ISERROR(SEARCH("vacant",D31)))</formula>
    </cfRule>
  </conditionalFormatting>
  <conditionalFormatting sqref="D31">
    <cfRule type="containsText" dxfId="2" priority="3" operator="containsText" text="vac">
      <formula>NOT(ISERROR(SEARCH("vac",D31)))</formula>
    </cfRule>
  </conditionalFormatting>
  <conditionalFormatting sqref="D32">
    <cfRule type="containsText" dxfId="1" priority="2" operator="containsText" text="vacant">
      <formula>NOT(ISERROR(SEARCH("vacant",D32)))</formula>
    </cfRule>
  </conditionalFormatting>
  <conditionalFormatting sqref="D32">
    <cfRule type="containsText" dxfId="0" priority="1" operator="containsText" text="vac">
      <formula>NOT(ISERROR(SEARCH("vac",D32)))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1</vt:i4>
      </vt:variant>
    </vt:vector>
  </HeadingPairs>
  <TitlesOfParts>
    <vt:vector size="11" baseType="lpstr">
      <vt:lpstr>20an</vt:lpstr>
      <vt:lpstr>Sheet5</vt:lpstr>
      <vt:lpstr>Sheet6</vt:lpstr>
      <vt:lpstr>JAN26</vt:lpstr>
      <vt:lpstr>Karyawan Resign</vt:lpstr>
      <vt:lpstr>Bandung</vt:lpstr>
      <vt:lpstr>Bogor</vt:lpstr>
      <vt:lpstr>Cirebon</vt:lpstr>
      <vt:lpstr>PCK</vt:lpstr>
      <vt:lpstr>Tasik</vt:lpstr>
      <vt:lpstr>'20an'!Print_Area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adacc04</dc:creator>
  <cp:lastModifiedBy>adacc04</cp:lastModifiedBy>
  <cp:lastPrinted>2026-05-06T09:46:03Z</cp:lastPrinted>
  <dcterms:created xsi:type="dcterms:W3CDTF">2026-05-06T08:57:14Z</dcterms:created>
  <dcterms:modified xsi:type="dcterms:W3CDTF">2026-05-07T10:02:18Z</dcterms:modified>
</cp:coreProperties>
</file>